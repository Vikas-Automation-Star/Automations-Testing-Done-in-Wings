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7BAC3B46-FEAE-41D1-8B31-61EF14B2BC0F}" xr6:coauthVersionLast="36" xr6:coauthVersionMax="36" xr10:uidLastSave="{00000000-0000-0000-0000-000000000000}"/>
  <bookViews>
    <workbookView xWindow="32760" yWindow="32760" windowWidth="32760" windowHeight="32760" tabRatio="960"/>
  </bookViews>
  <sheets>
    <sheet name="Tables" sheetId="1" r:id="rId1"/>
    <sheet name="GeneralInformation" sheetId="2" r:id="rId2"/>
    <sheet name="Items" sheetId="3" r:id="rId3"/>
    <sheet name="ChargesAndDeductions" sheetId="4" r:id="rId4"/>
    <sheet name="OtherCharges" sheetId="5" r:id="rId5"/>
    <sheet name="CGST" sheetId="6" r:id="rId6"/>
    <sheet name="SGST" sheetId="7" r:id="rId7"/>
    <sheet name="IGST" sheetId="8" r:id="rId8"/>
    <sheet name="CESS" sheetId="9" r:id="rId9"/>
    <sheet name="Cash" sheetId="10" r:id="rId10"/>
    <sheet name="Cheques" sheetId="11" r:id="rId11"/>
    <sheet name="PostDatedCheques" sheetId="12" r:id="rId12"/>
    <sheet name="PDC" sheetId="13" r:id="rId13"/>
    <sheet name="OtherInfo" sheetId="14" r:id="rId14"/>
    <sheet name="AdditionalInformation" sheetId="15" r:id="rId15"/>
    <sheet name="Summary" sheetId="16" r:id="rId16"/>
    <sheet name="TermsAndConditions" sheetId="17" r:id="rId17"/>
    <sheet name="Allocations" sheetId="18" r:id="rId18"/>
  </sheets>
  <calcPr calcId="191029"/>
</workbook>
</file>

<file path=xl/calcChain.xml><?xml version="1.0" encoding="utf-8"?>
<calcChain xmlns="http://schemas.openxmlformats.org/spreadsheetml/2006/main">
  <c r="AE14" i="3" l="1"/>
  <c r="AG14" i="3"/>
  <c r="AK14" i="3"/>
  <c r="AE13" i="3"/>
  <c r="AG13" i="3"/>
  <c r="AK13" i="3"/>
  <c r="AE12" i="3"/>
  <c r="AG12" i="3"/>
  <c r="AK12" i="3"/>
  <c r="AE11" i="3"/>
  <c r="AB12" i="3"/>
  <c r="AB11" i="3"/>
  <c r="AR10" i="3"/>
  <c r="AQ10" i="3"/>
  <c r="AK10" i="3"/>
  <c r="AG10" i="3"/>
  <c r="AE10" i="3"/>
  <c r="AB10" i="3"/>
  <c r="AB14" i="3"/>
  <c r="AB13" i="3"/>
  <c r="Y12" i="3"/>
  <c r="Y13" i="3"/>
  <c r="Y14" i="3"/>
  <c r="Y11" i="3"/>
  <c r="Y10" i="3"/>
  <c r="V16" i="3"/>
  <c r="V14" i="3"/>
  <c r="V13" i="3"/>
  <c r="V12" i="3"/>
  <c r="V11" i="3"/>
  <c r="V10" i="3"/>
  <c r="AS8" i="3"/>
  <c r="AR8" i="3"/>
  <c r="AQ8" i="3"/>
  <c r="AP8" i="3"/>
  <c r="AO8" i="3"/>
  <c r="AN8" i="3"/>
  <c r="AM8" i="3"/>
  <c r="AK8" i="3"/>
  <c r="AE8" i="3"/>
  <c r="AB8" i="3"/>
  <c r="Y8" i="3"/>
  <c r="V8" i="3"/>
  <c r="S8" i="3"/>
  <c r="P8" i="3"/>
  <c r="N8" i="3"/>
  <c r="M8" i="3"/>
  <c r="O8" i="3"/>
  <c r="AQ14" i="3"/>
  <c r="AR14" i="3"/>
  <c r="AQ13" i="3"/>
  <c r="AR13" i="3"/>
  <c r="AE16" i="3"/>
  <c r="AG11" i="3"/>
  <c r="AK11" i="3"/>
  <c r="AQ11" i="3"/>
  <c r="AQ12" i="3"/>
  <c r="AR12" i="3"/>
  <c r="AB16" i="3"/>
  <c r="Y16" i="3"/>
  <c r="AG16" i="3"/>
  <c r="AR11" i="3"/>
  <c r="AR16" i="3"/>
  <c r="AK16" i="3"/>
  <c r="AQ16" i="3"/>
</calcChain>
</file>

<file path=xl/sharedStrings.xml><?xml version="1.0" encoding="utf-8"?>
<sst xmlns="http://schemas.openxmlformats.org/spreadsheetml/2006/main" count="1103" uniqueCount="538">
  <si>
    <t>TableNames</t>
  </si>
  <si>
    <t>SheetNames</t>
  </si>
  <si>
    <t>VirtualNames</t>
  </si>
  <si>
    <t>GeneralInformation</t>
  </si>
  <si>
    <t>Items</t>
  </si>
  <si>
    <t>ChargesAndDeductions</t>
  </si>
  <si>
    <t>OtherCharges</t>
  </si>
  <si>
    <t>CGST</t>
  </si>
  <si>
    <t>SGST</t>
  </si>
  <si>
    <t>IGST</t>
  </si>
  <si>
    <t>CESS</t>
  </si>
  <si>
    <t>Cash</t>
  </si>
  <si>
    <t>Cheques</t>
  </si>
  <si>
    <t>PostDatedCheques</t>
  </si>
  <si>
    <t>PDC</t>
  </si>
  <si>
    <t>OtherInfo</t>
  </si>
  <si>
    <t>AdditionalInformation</t>
  </si>
  <si>
    <t>Summary</t>
  </si>
  <si>
    <t>TermsAndConditions</t>
  </si>
  <si>
    <t>Allocations</t>
  </si>
  <si>
    <t>VoucherNo</t>
  </si>
  <si>
    <t>VoucherType</t>
  </si>
  <si>
    <t>Date</t>
  </si>
  <si>
    <t>Branch</t>
  </si>
  <si>
    <t>TransactionCurrency</t>
  </si>
  <si>
    <t>ExchangeRate</t>
  </si>
  <si>
    <t>RegistrationType</t>
  </si>
  <si>
    <t>PartyAccountCode</t>
  </si>
  <si>
    <t>PartyAccount</t>
  </si>
  <si>
    <t>PlaceOfSupply</t>
  </si>
  <si>
    <t>GSTTransactionType</t>
  </si>
  <si>
    <t>CreditPeriod</t>
  </si>
  <si>
    <t>DueDate</t>
  </si>
  <si>
    <t>PriceList</t>
  </si>
  <si>
    <t>Executive</t>
  </si>
  <si>
    <t>Remarks</t>
  </si>
  <si>
    <t/>
  </si>
  <si>
    <t>1</t>
  </si>
  <si>
    <t>AT_POAQ</t>
  </si>
  <si>
    <t>AT_Branch 1_Reg</t>
  </si>
  <si>
    <t>INR</t>
  </si>
  <si>
    <t>0</t>
  </si>
  <si>
    <t>AT_Sup_Reg_Intra</t>
  </si>
  <si>
    <t>Intra State</t>
  </si>
  <si>
    <t>Intra State Purchase from Registered Dealers</t>
  </si>
  <si>
    <t>AT_Exclusive Purchase price list 1</t>
  </si>
  <si>
    <t>AT_Executive 1</t>
  </si>
  <si>
    <t>PVREM1</t>
  </si>
  <si>
    <t>TowardsVNo</t>
  </si>
  <si>
    <t>TowardsVNoDate</t>
  </si>
  <si>
    <t>ProductCode</t>
  </si>
  <si>
    <t>Product</t>
  </si>
  <si>
    <t>Description</t>
  </si>
  <si>
    <t>HSNCode</t>
  </si>
  <si>
    <t>GoodsOrServices</t>
  </si>
  <si>
    <t>History</t>
  </si>
  <si>
    <t>SKU</t>
  </si>
  <si>
    <t>UOM</t>
  </si>
  <si>
    <t>ConversionFactor</t>
  </si>
  <si>
    <t>QuotationQuantity</t>
  </si>
  <si>
    <t>QuotationQuantityinSKU</t>
  </si>
  <si>
    <t>Quantity</t>
  </si>
  <si>
    <t>QuantityInSKU</t>
  </si>
  <si>
    <t>DeliveryDate</t>
  </si>
  <si>
    <t>MRP</t>
  </si>
  <si>
    <t>MRPAmount</t>
  </si>
  <si>
    <t>LastPurchasePrice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</si>
  <si>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</si>
  <si>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</si>
  <si>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</si>
  <si>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</si>
  <si>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</si>
  <si>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</si>
  <si>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</si>
  <si>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</si>
  <si>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</si>
  <si>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</si>
  <si>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</si>
  <si>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</si>
  <si>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GrossMinusDiscount</t>
  </si>
  <si>
    <t>HSN</t>
  </si>
  <si>
    <t>GSTProductCategory</t>
  </si>
  <si>
    <t>CESSProductCategory</t>
  </si>
  <si>
    <t>GSTCommodityCode</t>
  </si>
  <si>
    <t>GSTAssessableValue</t>
  </si>
  <si>
    <t>GSTPercentage</t>
  </si>
  <si>
    <t>GSTAmount</t>
  </si>
  <si>
    <t>TaxAdjustment</t>
  </si>
  <si>
    <t>NetAmount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</si>
  <si>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</si>
  <si>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</si>
  <si>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</si>
  <si>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</si>
  <si>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</si>
  <si>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</si>
  <si>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</si>
  <si>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</si>
  <si>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</si>
  <si>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</si>
  <si>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</si>
  <si>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</si>
  <si>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</si>
  <si>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</si>
  <si>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</si>
  <si>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</si>
  <si>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</si>
  <si>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</si>
  <si>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</si>
  <si>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</si>
  <si>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</si>
  <si>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</si>
  <si>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</si>
  <si>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</si>
  <si>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</si>
  <si>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</si>
  <si>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</si>
  <si>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</si>
  <si>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</si>
  <si>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</si>
  <si>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</si>
  <si>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Department 1</t>
  </si>
  <si>
    <t>Project 1</t>
  </si>
  <si>
    <t>Profit Centre 1</t>
  </si>
  <si>
    <t>Cost Centre 1</t>
  </si>
  <si>
    <t>PVICMNT1</t>
  </si>
  <si>
    <t>INV1</t>
  </si>
  <si>
    <t>INV6</t>
  </si>
  <si>
    <t>INV11</t>
  </si>
  <si>
    <t>INV16</t>
  </si>
  <si>
    <t>INV22</t>
  </si>
  <si>
    <t>P2</t>
  </si>
  <si>
    <t>AT_Product 2</t>
  </si>
  <si>
    <t xml:space="preserve">7777            </t>
  </si>
  <si>
    <t>% on Gross - Voucher Disc - Party Disc</t>
  </si>
  <si>
    <t>% on Gross-Disc1</t>
  </si>
  <si>
    <t>AT_HSN Code 2</t>
  </si>
  <si>
    <t>GST 18%</t>
  </si>
  <si>
    <t>CESS 10%</t>
  </si>
  <si>
    <t>PVICMNT2</t>
  </si>
  <si>
    <t>INV2</t>
  </si>
  <si>
    <t>INV7</t>
  </si>
  <si>
    <t>INV12</t>
  </si>
  <si>
    <t>INV17</t>
  </si>
  <si>
    <t>INV23</t>
  </si>
  <si>
    <t>1254</t>
  </si>
  <si>
    <t>AT_Product 5</t>
  </si>
  <si>
    <t xml:space="preserve">1111            </t>
  </si>
  <si>
    <t>Per Quantity</t>
  </si>
  <si>
    <t>% on Gross-Disc1-V Disc-P Disc</t>
  </si>
  <si>
    <t>% on Gross-Disc1&amp;Disc2-V Disc-P Disc</t>
  </si>
  <si>
    <t>AT_HSN Code 3</t>
  </si>
  <si>
    <t>GST 1.5%</t>
  </si>
  <si>
    <t>PVICMNT3</t>
  </si>
  <si>
    <t>INV3</t>
  </si>
  <si>
    <t>INV8</t>
  </si>
  <si>
    <t>INV13</t>
  </si>
  <si>
    <t>INV18</t>
  </si>
  <si>
    <t>INV24</t>
  </si>
  <si>
    <t>PSN3</t>
  </si>
  <si>
    <t>AT_Product With SN 3</t>
  </si>
  <si>
    <t xml:space="preserve">5689            </t>
  </si>
  <si>
    <t>Value</t>
  </si>
  <si>
    <t>% on Gross-Disc1&amp;Disc2</t>
  </si>
  <si>
    <t>AT_HSN Code 4</t>
  </si>
  <si>
    <t>PVICMNT4</t>
  </si>
  <si>
    <t>INV4</t>
  </si>
  <si>
    <t>INV9</t>
  </si>
  <si>
    <t>INV14</t>
  </si>
  <si>
    <t>INV19</t>
  </si>
  <si>
    <t>INV25</t>
  </si>
  <si>
    <t>MBP4</t>
  </si>
  <si>
    <t>AT_Multi batch product 4</t>
  </si>
  <si>
    <t xml:space="preserve">3456            </t>
  </si>
  <si>
    <t>% on Gross-Disc2</t>
  </si>
  <si>
    <t>AT_HSN Code 5</t>
  </si>
  <si>
    <t>GST 28%</t>
  </si>
  <si>
    <t>CESS 15%</t>
  </si>
  <si>
    <t>PVICMNT5</t>
  </si>
  <si>
    <t>INV5</t>
  </si>
  <si>
    <t>INV10</t>
  </si>
  <si>
    <t>INV15</t>
  </si>
  <si>
    <t>INV21</t>
  </si>
  <si>
    <t>INV26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</si>
  <si>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</si>
  <si>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</si>
  <si>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</si>
  <si>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</si>
  <si>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</si>
  <si>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</si>
  <si>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</si>
  <si>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</si>
  <si>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</si>
  <si>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</si>
  <si>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</si>
  <si>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</si>
  <si>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CA11</t>
  </si>
  <si>
    <t>AT_Charges  Acc 1</t>
  </si>
  <si>
    <t>Gross Amt</t>
  </si>
  <si>
    <t>AT_Department 6</t>
  </si>
  <si>
    <t>AT_Project 6</t>
  </si>
  <si>
    <t>AT_Profit Center 6</t>
  </si>
  <si>
    <t>AT_Cost Center 6</t>
  </si>
  <si>
    <t>CDCMNTS1</t>
  </si>
  <si>
    <t>CA23</t>
  </si>
  <si>
    <t>AT_Charges  Acc 2</t>
  </si>
  <si>
    <t>Disc Amt</t>
  </si>
  <si>
    <t>Department 7</t>
  </si>
  <si>
    <t>Projects 7</t>
  </si>
  <si>
    <t>Profit Centre 7</t>
  </si>
  <si>
    <t>Cost Centre 7</t>
  </si>
  <si>
    <t>CDCMNTS2</t>
  </si>
  <si>
    <t>DA</t>
  </si>
  <si>
    <t>AT_Deductions  Acc 1</t>
  </si>
  <si>
    <t>Gross Minus Disc</t>
  </si>
  <si>
    <t>Department 8</t>
  </si>
  <si>
    <t>Projects 8</t>
  </si>
  <si>
    <t>Profit Centre 8</t>
  </si>
  <si>
    <t>Cost Centre 8</t>
  </si>
  <si>
    <t>CDCMNTS3</t>
  </si>
  <si>
    <t>DA1</t>
  </si>
  <si>
    <t>AT_Deductions  Acc 2</t>
  </si>
  <si>
    <t>Net Amt</t>
  </si>
  <si>
    <t>Department 9</t>
  </si>
  <si>
    <t>Projects 9</t>
  </si>
  <si>
    <t>Profit Centre 9</t>
  </si>
  <si>
    <t>Cost Centre 9</t>
  </si>
  <si>
    <t>CDCMNTS4</t>
  </si>
  <si>
    <t>DA3</t>
  </si>
  <si>
    <t>AT_Deductions  Acc 3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</si>
  <si>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</si>
  <si>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</si>
  <si>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</si>
  <si>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</si>
  <si>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</si>
  <si>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</si>
  <si>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AT_Charges  Acc 3</t>
  </si>
  <si>
    <t>S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</si>
  <si>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</si>
  <si>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</si>
  <si>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</si>
  <si>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</si>
  <si>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</si>
  <si>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</si>
  <si>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</si>
  <si>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</si>
  <si>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</si>
  <si>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</si>
  <si>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</si>
  <si>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</si>
  <si>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>Department 18</t>
  </si>
  <si>
    <t>Projects 18</t>
  </si>
  <si>
    <t>Profit Centre 18</t>
  </si>
  <si>
    <t>Cost Centre 18</t>
  </si>
  <si>
    <t>PVOCCMNTS3</t>
  </si>
  <si>
    <t>AT_Charges  Acc 5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</si>
  <si>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</si>
  <si>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</si>
  <si>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</si>
  <si>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</si>
  <si>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</si>
  <si>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</si>
  <si>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</si>
  <si>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</si>
  <si>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</si>
  <si>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</si>
  <si>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</si>
  <si>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</si>
  <si>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</si>
  <si>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</si>
  <si>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</si>
  <si>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</si>
  <si>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</si>
  <si>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</si>
  <si>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</si>
  <si>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</si>
  <si>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</si>
  <si>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</si>
  <si>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</si>
  <si>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</si>
  <si>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</si>
  <si>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</si>
  <si>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</si>
  <si>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</si>
  <si>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</si>
  <si>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</si>
  <si>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Base Tax</t>
  </si>
  <si>
    <t>Gross Amount Minus Discount</t>
  </si>
  <si>
    <t>CGST Input Tax Account</t>
  </si>
  <si>
    <t>SGST Input Tax Account</t>
  </si>
  <si>
    <t>GST Cess Input Tax Account</t>
  </si>
  <si>
    <t>CashAccountCode</t>
  </si>
  <si>
    <t>CashAccount</t>
  </si>
  <si>
    <t>AmountInCompanyCurrency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</si>
  <si>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</si>
  <si>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</si>
  <si>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</si>
  <si>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</si>
  <si>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</si>
  <si>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</si>
  <si>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</si>
  <si>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</si>
  <si>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</si>
  <si>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</si>
  <si>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</si>
  <si>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</si>
  <si>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</si>
  <si>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</si>
  <si>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</si>
  <si>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</si>
  <si>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</si>
  <si>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</si>
  <si>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</si>
  <si>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</si>
  <si>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</si>
  <si>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</si>
  <si>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</si>
  <si>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</si>
  <si>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</si>
  <si>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</si>
  <si>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</si>
  <si>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</si>
  <si>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</si>
  <si>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</si>
  <si>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</si>
  <si>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</si>
  <si>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</si>
  <si>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</si>
  <si>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ChargesAccountCode</t>
  </si>
  <si>
    <t>ChargesAccount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</si>
  <si>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</si>
  <si>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</si>
  <si>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</si>
  <si>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</si>
  <si>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</si>
  <si>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</si>
  <si>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</si>
  <si>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</si>
  <si>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</si>
  <si>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</si>
  <si>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</si>
  <si>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</si>
  <si>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</si>
  <si>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</si>
  <si>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</si>
  <si>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</si>
  <si>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</si>
  <si>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</si>
  <si>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</si>
  <si>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</si>
  <si>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</si>
  <si>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</si>
  <si>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</si>
  <si>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</si>
  <si>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</si>
  <si>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</si>
  <si>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</si>
  <si>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</si>
  <si>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</si>
  <si>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</si>
  <si>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</si>
  <si>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</si>
  <si>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</si>
  <si>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</si>
  <si>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</si>
  <si>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</si>
  <si>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</si>
  <si>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</si>
  <si>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</si>
  <si>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</si>
  <si>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</t>
  </si>
  <si>
    <t>AT_Bank_PDC_Acc 1</t>
  </si>
  <si>
    <t>AT_Cheques In Hand Acc 1</t>
  </si>
  <si>
    <t>1311</t>
  </si>
  <si>
    <t>Department 41</t>
  </si>
  <si>
    <t>Projects 41</t>
  </si>
  <si>
    <t>Profit Centre 41</t>
  </si>
  <si>
    <t>Cost Centre 41</t>
  </si>
  <si>
    <t>PVPDCCMNT1</t>
  </si>
  <si>
    <t>AT_Bank_PDC_Acc 2</t>
  </si>
  <si>
    <t>AT_Cheques In Hand Acc 2</t>
  </si>
  <si>
    <t>1312</t>
  </si>
  <si>
    <t>Department 42</t>
  </si>
  <si>
    <t>Projects 42</t>
  </si>
  <si>
    <t>Profit Centre 42</t>
  </si>
  <si>
    <t>Cost Centre 42</t>
  </si>
  <si>
    <t>PVPDCCMNT2</t>
  </si>
  <si>
    <t>AT_Bank_PDC_Acc 3</t>
  </si>
  <si>
    <t>AT_Cheques In Hand Acc 3</t>
  </si>
  <si>
    <t>1313</t>
  </si>
  <si>
    <t>Department 43</t>
  </si>
  <si>
    <t>Projects 43</t>
  </si>
  <si>
    <t>Profit Centre 43</t>
  </si>
  <si>
    <t>Cost Centre 43</t>
  </si>
  <si>
    <t>PVPDCCMNT3</t>
  </si>
  <si>
    <t>AT_Bank_PDC_Acc 4</t>
  </si>
  <si>
    <t>AT_Cheques In Hand Acc 4</t>
  </si>
  <si>
    <t>1314</t>
  </si>
  <si>
    <t>Department 44</t>
  </si>
  <si>
    <t>Projects 44</t>
  </si>
  <si>
    <t>Profit Centre 44</t>
  </si>
  <si>
    <t>Cost Centre 44</t>
  </si>
  <si>
    <t>PVPDCCMNT4</t>
  </si>
  <si>
    <t>AT_Bank_PDC_Acc 5</t>
  </si>
  <si>
    <t>AT_Cheques In Hand 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</si>
  <si>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</si>
  <si>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</si>
  <si>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</si>
  <si>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</si>
  <si>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</si>
  <si>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</si>
  <si>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</si>
  <si>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</si>
  <si>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</si>
  <si>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</si>
  <si>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</si>
  <si>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</si>
  <si>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</si>
  <si>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</si>
  <si>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</si>
  <si>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</si>
  <si>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</si>
  <si>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</si>
  <si>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</si>
  <si>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</si>
  <si>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</si>
  <si>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</si>
  <si>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</si>
  <si>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</si>
  <si>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</si>
  <si>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</si>
  <si>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</si>
  <si>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</si>
  <si>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</si>
  <si>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</si>
  <si>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</si>
  <si>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</si>
  <si>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</si>
  <si>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</si>
  <si>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</si>
  <si>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</si>
  <si>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</si>
  <si>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</si>
  <si>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</si>
  <si>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</si>
  <si>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</si>
  <si>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</si>
  <si>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</si>
  <si>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</si>
  <si>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</si>
  <si>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</si>
  <si>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</si>
  <si>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</si>
  <si>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</si>
  <si>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</si>
  <si>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</si>
  <si>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</si>
  <si>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</si>
  <si>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</si>
  <si>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</si>
  <si>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</si>
  <si>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</si>
  <si>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</si>
  <si>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</si>
  <si>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</si>
  <si>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</si>
  <si>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</si>
  <si>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</si>
  <si>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</si>
  <si>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NetAmountAfterCharges</t>
  </si>
  <si>
    <t>NetAmountAfterDeductions</t>
  </si>
  <si>
    <t>TaxableOtherCharges</t>
  </si>
  <si>
    <t>NetAmountAfterTaxableOtherChargesAmount</t>
  </si>
  <si>
    <t>TaxableOtherChargesTaxAmount</t>
  </si>
  <si>
    <t>NetAmountAfterTaxableOtherChargesTaxAmount</t>
  </si>
  <si>
    <t>OtherChargesCGST</t>
  </si>
  <si>
    <t>OtherChargesSGST</t>
  </si>
  <si>
    <t>OtherChargesIGST</t>
  </si>
  <si>
    <t>OtherChargesCESS</t>
  </si>
  <si>
    <t>OtherChargesGST</t>
  </si>
  <si>
    <t>RoundOffType</t>
  </si>
  <si>
    <t>RoundOffAccount</t>
  </si>
  <si>
    <t>RoundOffAmount</t>
  </si>
  <si>
    <t>TotalValue</t>
  </si>
  <si>
    <t>TotalValueInCompanyCurrency</t>
  </si>
  <si>
    <t>PDC1</t>
  </si>
  <si>
    <t>PDC2</t>
  </si>
  <si>
    <t>Payment</t>
  </si>
  <si>
    <t>NetAmountAfterPayment</t>
  </si>
  <si>
    <t>TotalChargesByValue</t>
  </si>
  <si>
    <t>TotalChargesByQty</t>
  </si>
  <si>
    <t>TotalDeductionsByValue</t>
  </si>
  <si>
    <t>TotalDeductionsByQty</t>
  </si>
  <si>
    <t>GSTAssessableValue1</t>
  </si>
  <si>
    <t>GSTAssessableValue2</t>
  </si>
  <si>
    <t>TaxAdjustment1</t>
  </si>
  <si>
    <t>TaxAdjustment2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</si>
  <si>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</si>
  <si>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</si>
  <si>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</si>
  <si>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</si>
  <si>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</si>
  <si>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</si>
  <si>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</si>
  <si>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</si>
  <si>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</si>
  <si>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</si>
  <si>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</si>
  <si>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</si>
  <si>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</si>
  <si>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</si>
  <si>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</si>
  <si>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</si>
  <si>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</si>
  <si>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</si>
  <si>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MasterType</t>
  </si>
  <si>
    <t>Products</t>
  </si>
  <si>
    <t>Products - Batches and Serial No</t>
  </si>
  <si>
    <t>Products - MultiBatch</t>
  </si>
  <si>
    <t>AT_Department 1</t>
  </si>
  <si>
    <t>AT_Project 1</t>
  </si>
  <si>
    <t>AT_Profit Center 1</t>
  </si>
  <si>
    <t>AT_Cost Center 1</t>
  </si>
  <si>
    <t>AT_Department 2</t>
  </si>
  <si>
    <t>AT_Project 2</t>
  </si>
  <si>
    <t>AT_Profit Center 2</t>
  </si>
  <si>
    <t>AT_Cost Center 2</t>
  </si>
  <si>
    <t>AT_Department 3</t>
  </si>
  <si>
    <t>AT_Project 3</t>
  </si>
  <si>
    <t>AT_Profit Center 3</t>
  </si>
  <si>
    <t>AT_Cost Center 3</t>
  </si>
  <si>
    <t>AT_Department 4</t>
  </si>
  <si>
    <t>AT_Project 4</t>
  </si>
  <si>
    <t>AT_Profit Center 4</t>
  </si>
  <si>
    <t>AT_Cost Center 4</t>
  </si>
  <si>
    <t>AT_Department 5</t>
  </si>
  <si>
    <t>AT_Project 5</t>
  </si>
  <si>
    <t>AT_Profit Center 5</t>
  </si>
  <si>
    <t>AT_Cost Center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</si>
</sst>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  <family val="2"/>
      <scheme val="minor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8"/>
  <sheetViews>
    <sheetView tabSelected="1" workbookViewId="0">
      <selection activeCell="F14" sqref="F14"/>
    </sheetView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s="2" customFormat="1" x14ac:dyDescent="0.25">
      <c r="A3" s="2" t="s">
        <v>4</v>
      </c>
      <c r="B3" s="2" t="s">
        <v>4</v>
      </c>
      <c r="C3" s="2" t="s">
        <v>4</v>
      </c>
    </row>
    <row r="4" spans="1:3" s="2" customFormat="1" x14ac:dyDescent="0.25">
      <c r="A4" s="2" t="s">
        <v>5</v>
      </c>
      <c r="B4" s="2" t="s">
        <v>5</v>
      </c>
      <c r="C4" s="2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s="2" customFormat="1" x14ac:dyDescent="0.25">
      <c r="A18" s="2" t="s">
        <v>19</v>
      </c>
      <c r="B18" s="2" t="s">
        <v>19</v>
      </c>
      <c r="C18" s="2" t="s">
        <v>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1" width="11" bestFit="1" customWidth="1"/>
    <col min="2" max="2" width="12.7109375" bestFit="1" customWidth="1"/>
    <col min="3" max="3" width="10.140625" bestFit="1" customWidth="1"/>
    <col min="4" max="4" width="16.140625" bestFit="1" customWidth="1"/>
    <col min="5" max="5" width="19.28515625" bestFit="1" customWidth="1"/>
    <col min="6" max="6" width="13.42578125" bestFit="1" customWidth="1"/>
    <col min="7" max="7" width="16.140625" bestFit="1" customWidth="1"/>
    <col min="8" max="8" width="17.5703125" bestFit="1" customWidth="1"/>
    <col min="9" max="9" width="17.28515625" bestFit="1" customWidth="1"/>
    <col min="10" max="10" width="14" bestFit="1" customWidth="1"/>
    <col min="11" max="11" width="41.42578125" bestFit="1" customWidth="1"/>
    <col min="12" max="12" width="12.28515625" bestFit="1" customWidth="1"/>
    <col min="13" max="13" width="10.140625" bestFit="1" customWidth="1"/>
    <col min="14" max="14" width="31" bestFit="1" customWidth="1"/>
    <col min="15" max="15" width="14.42578125" bestFit="1" customWidth="1"/>
    <col min="16" max="16" width="8.5703125" bestFit="1" customWidth="1"/>
  </cols>
  <sheetData>
    <row r="1" spans="1:1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25">
      <c r="A2" s="2" t="s">
        <v>36</v>
      </c>
      <c r="B2" t="s">
        <v>38</v>
      </c>
      <c r="C2" s="1">
        <v>45861</v>
      </c>
      <c r="D2" t="s">
        <v>39</v>
      </c>
      <c r="E2" t="s">
        <v>40</v>
      </c>
      <c r="F2">
        <v>1</v>
      </c>
      <c r="G2">
        <v>1</v>
      </c>
      <c r="H2" t="s">
        <v>42</v>
      </c>
      <c r="I2" t="s">
        <v>42</v>
      </c>
      <c r="J2" t="s">
        <v>43</v>
      </c>
      <c r="K2" t="s">
        <v>44</v>
      </c>
      <c r="L2">
        <v>110</v>
      </c>
      <c r="M2" s="1">
        <v>45971</v>
      </c>
      <c r="N2" t="s">
        <v>45</v>
      </c>
      <c r="O2" t="s">
        <v>46</v>
      </c>
      <c r="P2" t="s">
        <v>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N16"/>
  <sheetViews>
    <sheetView topLeftCell="AJ1" workbookViewId="0">
      <selection activeCell="AT6" sqref="AT6"/>
    </sheetView>
  </sheetViews>
  <sheetFormatPr defaultRowHeight="15" x14ac:dyDescent="0.25"/>
  <cols>
    <col min="1" max="1" width="12.28515625" bestFit="1" customWidth="1"/>
    <col min="2" max="2" width="16.5703125" bestFit="1" customWidth="1"/>
    <col min="3" max="3" width="12.42578125" bestFit="1" customWidth="1"/>
    <col min="4" max="4" width="23.42578125" bestFit="1" customWidth="1"/>
    <col min="5" max="5" width="30" bestFit="1" customWidth="1"/>
    <col min="6" max="6" width="11.140625" bestFit="1" customWidth="1"/>
    <col min="7" max="7" width="10.140625" bestFit="1" customWidth="1"/>
    <col min="8" max="8" width="16.140625" bestFit="1" customWidth="1"/>
    <col min="9" max="9" width="7.28515625" bestFit="1" customWidth="1"/>
    <col min="10" max="10" width="4.42578125" bestFit="1" customWidth="1"/>
    <col min="11" max="11" width="5.42578125" bestFit="1" customWidth="1"/>
    <col min="12" max="12" width="16.5703125" bestFit="1" customWidth="1"/>
    <col min="13" max="13" width="18" bestFit="1" customWidth="1"/>
    <col min="14" max="14" width="23.28515625" bestFit="1" customWidth="1"/>
    <col min="15" max="15" width="8.7109375" bestFit="1" customWidth="1"/>
    <col min="16" max="16" width="14" bestFit="1" customWidth="1"/>
    <col min="17" max="17" width="12.5703125" bestFit="1" customWidth="1"/>
    <col min="18" max="18" width="8" bestFit="1" customWidth="1"/>
    <col min="19" max="19" width="12.140625" bestFit="1" customWidth="1"/>
    <col min="20" max="20" width="17" bestFit="1" customWidth="1"/>
    <col min="21" max="21" width="8.7109375" bestFit="1" customWidth="1"/>
    <col min="22" max="22" width="13.140625" bestFit="1" customWidth="1"/>
    <col min="23" max="23" width="34.5703125" bestFit="1" customWidth="1"/>
    <col min="24" max="24" width="9.7109375" bestFit="1" customWidth="1"/>
    <col min="25" max="25" width="17" bestFit="1" customWidth="1"/>
    <col min="26" max="26" width="28.28515625" bestFit="1" customWidth="1"/>
    <col min="27" max="27" width="9.7109375" bestFit="1" customWidth="1"/>
    <col min="28" max="28" width="17" bestFit="1" customWidth="1"/>
    <col min="29" max="29" width="34.5703125" bestFit="1" customWidth="1"/>
    <col min="30" max="30" width="9.7109375" bestFit="1" customWidth="1"/>
    <col min="31" max="31" width="17" bestFit="1" customWidth="1"/>
    <col min="32" max="32" width="11.85546875" bestFit="1" customWidth="1"/>
    <col min="33" max="33" width="14.5703125" bestFit="1" customWidth="1"/>
    <col min="34" max="34" width="19.28515625" bestFit="1" customWidth="1"/>
    <col min="35" max="35" width="20.140625" bestFit="1" customWidth="1"/>
    <col min="36" max="37" width="19.42578125" bestFit="1" customWidth="1"/>
    <col min="38" max="38" width="14.42578125" bestFit="1" customWidth="1"/>
    <col min="39" max="40" width="6" bestFit="1" customWidth="1"/>
    <col min="41" max="41" width="4.85546875" bestFit="1" customWidth="1"/>
    <col min="42" max="42" width="6" bestFit="1" customWidth="1"/>
    <col min="43" max="44" width="11.42578125" bestFit="1" customWidth="1"/>
    <col min="45" max="45" width="30" bestFit="1" customWidth="1"/>
    <col min="46" max="46" width="16.5703125" bestFit="1" customWidth="1"/>
    <col min="47" max="47" width="12" bestFit="1" customWidth="1"/>
    <col min="48" max="48" width="17.42578125" bestFit="1" customWidth="1"/>
    <col min="49" max="49" width="16.140625" bestFit="1" customWidth="1"/>
    <col min="50" max="50" width="10.5703125" bestFit="1" customWidth="1"/>
    <col min="51" max="51" width="5.5703125" bestFit="1" customWidth="1"/>
    <col min="52" max="55" width="6.28515625" bestFit="1" customWidth="1"/>
    <col min="56" max="60" width="7.140625" bestFit="1" customWidth="1"/>
    <col min="61" max="63" width="10.140625" bestFit="1" customWidth="1"/>
    <col min="64" max="66" width="6" bestFit="1" customWidth="1"/>
  </cols>
  <sheetData>
    <row r="1" spans="1:66" x14ac:dyDescent="0.25">
      <c r="A1" t="s">
        <v>48</v>
      </c>
      <c r="B1" t="s">
        <v>49</v>
      </c>
      <c r="C1" t="s">
        <v>50</v>
      </c>
      <c r="D1" t="s">
        <v>51</v>
      </c>
      <c r="E1" t="s">
        <v>514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7</v>
      </c>
      <c r="AN1" t="s">
        <v>8</v>
      </c>
      <c r="AO1" t="s">
        <v>9</v>
      </c>
      <c r="AP1" t="s">
        <v>10</v>
      </c>
      <c r="AQ1" t="s">
        <v>86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108</v>
      </c>
      <c r="BM1" t="s">
        <v>109</v>
      </c>
      <c r="BN1" t="s">
        <v>110</v>
      </c>
    </row>
    <row r="2" spans="1:66" x14ac:dyDescent="0.25">
      <c r="A2" s="2" t="s">
        <v>36</v>
      </c>
      <c r="B2" s="1">
        <v>45867</v>
      </c>
      <c r="C2" t="s">
        <v>111</v>
      </c>
      <c r="D2" t="s">
        <v>112</v>
      </c>
      <c r="E2" t="s">
        <v>515</v>
      </c>
      <c r="F2" t="s">
        <v>111</v>
      </c>
      <c r="G2" t="s">
        <v>113</v>
      </c>
      <c r="H2" t="s">
        <v>114</v>
      </c>
      <c r="I2">
        <v>0</v>
      </c>
      <c r="J2" t="s">
        <v>115</v>
      </c>
      <c r="K2" t="s">
        <v>115</v>
      </c>
      <c r="L2">
        <v>1</v>
      </c>
      <c r="M2">
        <v>1.123</v>
      </c>
      <c r="N2">
        <v>1.123</v>
      </c>
      <c r="O2">
        <v>1.123</v>
      </c>
      <c r="P2">
        <v>1.123</v>
      </c>
      <c r="Q2" s="1">
        <v>45867</v>
      </c>
      <c r="R2">
        <v>1000.11</v>
      </c>
      <c r="S2">
        <v>1123.1199999999999</v>
      </c>
      <c r="T2">
        <v>0</v>
      </c>
      <c r="U2">
        <v>100.11</v>
      </c>
      <c r="V2">
        <v>112.42</v>
      </c>
      <c r="W2" t="s">
        <v>116</v>
      </c>
      <c r="X2">
        <v>1.1100000000000001</v>
      </c>
      <c r="Y2">
        <v>1.25</v>
      </c>
      <c r="Z2" t="s">
        <v>116</v>
      </c>
      <c r="AA2">
        <v>2.11</v>
      </c>
      <c r="AB2">
        <v>2.37</v>
      </c>
      <c r="AC2" t="s">
        <v>116</v>
      </c>
      <c r="AD2">
        <v>3.11</v>
      </c>
      <c r="AE2">
        <v>3.5</v>
      </c>
      <c r="AF2" t="s">
        <v>41</v>
      </c>
      <c r="AG2" t="s">
        <v>117</v>
      </c>
      <c r="AH2" t="s">
        <v>118</v>
      </c>
      <c r="AI2" t="s">
        <v>119</v>
      </c>
      <c r="AJ2" t="s">
        <v>36</v>
      </c>
      <c r="AK2" s="2">
        <v>105.3</v>
      </c>
      <c r="AL2">
        <v>12</v>
      </c>
      <c r="AM2" s="2">
        <v>6.32</v>
      </c>
      <c r="AN2" s="2">
        <v>6.32</v>
      </c>
      <c r="AO2" s="2">
        <v>0</v>
      </c>
      <c r="AP2" s="2">
        <v>1.05</v>
      </c>
      <c r="AQ2" s="2">
        <v>13.69</v>
      </c>
      <c r="AR2" s="2">
        <v>118.99</v>
      </c>
      <c r="AS2" s="2">
        <v>118.99</v>
      </c>
      <c r="AT2" t="s">
        <v>518</v>
      </c>
      <c r="AU2" t="s">
        <v>519</v>
      </c>
      <c r="AV2" t="s">
        <v>520</v>
      </c>
      <c r="AW2" t="s">
        <v>521</v>
      </c>
      <c r="AX2" t="s">
        <v>124</v>
      </c>
      <c r="AY2" t="s">
        <v>125</v>
      </c>
      <c r="AZ2" t="s">
        <v>126</v>
      </c>
      <c r="BA2" t="s">
        <v>127</v>
      </c>
      <c r="BB2" t="s">
        <v>128</v>
      </c>
      <c r="BC2" t="s">
        <v>129</v>
      </c>
      <c r="BD2">
        <v>1.28</v>
      </c>
      <c r="BE2">
        <v>1.34</v>
      </c>
      <c r="BF2">
        <v>1.39</v>
      </c>
      <c r="BG2">
        <v>1.45</v>
      </c>
      <c r="BH2">
        <v>1.51</v>
      </c>
      <c r="BI2" s="1">
        <v>45862</v>
      </c>
      <c r="BJ2" s="1">
        <v>45863</v>
      </c>
      <c r="BK2" s="1">
        <v>45864</v>
      </c>
      <c r="BL2" t="s">
        <v>37</v>
      </c>
      <c r="BM2" t="s">
        <v>37</v>
      </c>
      <c r="BN2" t="s">
        <v>37</v>
      </c>
    </row>
    <row r="3" spans="1:66" x14ac:dyDescent="0.25">
      <c r="A3" s="2" t="s">
        <v>36</v>
      </c>
      <c r="B3" s="1">
        <v>45867</v>
      </c>
      <c r="C3" t="s">
        <v>130</v>
      </c>
      <c r="D3" t="s">
        <v>131</v>
      </c>
      <c r="E3" t="s">
        <v>515</v>
      </c>
      <c r="F3" t="s">
        <v>130</v>
      </c>
      <c r="G3" t="s">
        <v>132</v>
      </c>
      <c r="H3" t="s">
        <v>114</v>
      </c>
      <c r="I3">
        <v>0</v>
      </c>
      <c r="J3" t="s">
        <v>115</v>
      </c>
      <c r="K3" t="s">
        <v>115</v>
      </c>
      <c r="L3">
        <v>1</v>
      </c>
      <c r="M3">
        <v>1.1240000000000001</v>
      </c>
      <c r="N3">
        <v>1.1240000000000001</v>
      </c>
      <c r="O3">
        <v>1.1240000000000001</v>
      </c>
      <c r="P3">
        <v>1.1240000000000001</v>
      </c>
      <c r="Q3" s="1">
        <v>45867</v>
      </c>
      <c r="R3">
        <v>1000.12</v>
      </c>
      <c r="S3">
        <v>1124.1300000000001</v>
      </c>
      <c r="T3">
        <v>0</v>
      </c>
      <c r="U3">
        <v>100.12</v>
      </c>
      <c r="V3">
        <v>112.53</v>
      </c>
      <c r="W3" s="2" t="s">
        <v>133</v>
      </c>
      <c r="X3">
        <v>1.1200000000000001</v>
      </c>
      <c r="Y3" s="2">
        <v>0</v>
      </c>
      <c r="Z3" t="s">
        <v>134</v>
      </c>
      <c r="AA3">
        <v>2.12</v>
      </c>
      <c r="AB3">
        <v>2.39</v>
      </c>
      <c r="AC3" t="s">
        <v>134</v>
      </c>
      <c r="AD3">
        <v>3.12</v>
      </c>
      <c r="AE3">
        <v>3.51</v>
      </c>
      <c r="AF3" t="s">
        <v>41</v>
      </c>
      <c r="AG3" t="s">
        <v>135</v>
      </c>
      <c r="AH3" t="s">
        <v>136</v>
      </c>
      <c r="AI3" t="s">
        <v>137</v>
      </c>
      <c r="AJ3" t="s">
        <v>36</v>
      </c>
      <c r="AK3">
        <v>106.63</v>
      </c>
      <c r="AL3">
        <v>18</v>
      </c>
      <c r="AM3">
        <v>9.6</v>
      </c>
      <c r="AN3">
        <v>9.6</v>
      </c>
      <c r="AO3">
        <v>0</v>
      </c>
      <c r="AP3">
        <v>10.66</v>
      </c>
      <c r="AQ3">
        <v>29.86</v>
      </c>
      <c r="AR3">
        <v>136.49</v>
      </c>
      <c r="AS3">
        <v>136.49</v>
      </c>
      <c r="AT3" t="s">
        <v>522</v>
      </c>
      <c r="AU3" t="s">
        <v>523</v>
      </c>
      <c r="AV3" t="s">
        <v>524</v>
      </c>
      <c r="AW3" t="s">
        <v>525</v>
      </c>
      <c r="AX3" t="s">
        <v>138</v>
      </c>
      <c r="AY3" t="s">
        <v>139</v>
      </c>
      <c r="AZ3" t="s">
        <v>140</v>
      </c>
      <c r="BA3" t="s">
        <v>141</v>
      </c>
      <c r="BB3" t="s">
        <v>142</v>
      </c>
      <c r="BC3" t="s">
        <v>143</v>
      </c>
      <c r="BD3">
        <v>1.29</v>
      </c>
      <c r="BE3">
        <v>1.35</v>
      </c>
      <c r="BF3">
        <v>1.41</v>
      </c>
      <c r="BG3">
        <v>1.46</v>
      </c>
      <c r="BH3">
        <v>1.52</v>
      </c>
      <c r="BI3" s="1">
        <v>45865</v>
      </c>
      <c r="BJ3" s="1">
        <v>45866</v>
      </c>
      <c r="BK3" s="1">
        <v>45867</v>
      </c>
      <c r="BL3" t="s">
        <v>37</v>
      </c>
      <c r="BM3" t="s">
        <v>37</v>
      </c>
      <c r="BN3" t="s">
        <v>37</v>
      </c>
    </row>
    <row r="4" spans="1:66" x14ac:dyDescent="0.25">
      <c r="A4" s="2" t="s">
        <v>36</v>
      </c>
      <c r="B4" s="1">
        <v>45867</v>
      </c>
      <c r="C4" t="s">
        <v>144</v>
      </c>
      <c r="D4" t="s">
        <v>145</v>
      </c>
      <c r="E4" t="s">
        <v>515</v>
      </c>
      <c r="F4" t="s">
        <v>36</v>
      </c>
      <c r="G4" t="s">
        <v>146</v>
      </c>
      <c r="H4" t="s">
        <v>114</v>
      </c>
      <c r="I4">
        <v>0</v>
      </c>
      <c r="J4" t="s">
        <v>115</v>
      </c>
      <c r="K4" t="s">
        <v>115</v>
      </c>
      <c r="L4">
        <v>1</v>
      </c>
      <c r="M4">
        <v>1.1259999999999999</v>
      </c>
      <c r="N4">
        <v>1.1259999999999999</v>
      </c>
      <c r="O4">
        <v>1.1259999999999999</v>
      </c>
      <c r="P4">
        <v>1.1259999999999999</v>
      </c>
      <c r="Q4" s="1">
        <v>45867</v>
      </c>
      <c r="R4">
        <v>1000.13</v>
      </c>
      <c r="S4">
        <v>1126.1500000000001</v>
      </c>
      <c r="T4">
        <v>0</v>
      </c>
      <c r="U4">
        <v>100.13</v>
      </c>
      <c r="V4">
        <v>112.75</v>
      </c>
      <c r="W4" t="s">
        <v>147</v>
      </c>
      <c r="X4">
        <v>1.1299999999999999</v>
      </c>
      <c r="Y4">
        <v>1.27</v>
      </c>
      <c r="Z4" s="2" t="s">
        <v>148</v>
      </c>
      <c r="AA4">
        <v>2.13</v>
      </c>
      <c r="AB4" s="2">
        <v>0</v>
      </c>
      <c r="AC4" s="2" t="s">
        <v>149</v>
      </c>
      <c r="AD4">
        <v>3.13</v>
      </c>
      <c r="AE4" s="2">
        <v>0</v>
      </c>
      <c r="AF4" t="s">
        <v>41</v>
      </c>
      <c r="AG4" t="s">
        <v>150</v>
      </c>
      <c r="AH4" t="s">
        <v>151</v>
      </c>
      <c r="AI4" t="s">
        <v>119</v>
      </c>
      <c r="AJ4" t="s">
        <v>36</v>
      </c>
      <c r="AK4" s="2">
        <v>111.48</v>
      </c>
      <c r="AL4">
        <v>1.5</v>
      </c>
      <c r="AM4" s="2">
        <v>0.84</v>
      </c>
      <c r="AN4" s="2">
        <v>0.84</v>
      </c>
      <c r="AO4" s="2">
        <v>0</v>
      </c>
      <c r="AP4" s="2">
        <v>1.1100000000000001</v>
      </c>
      <c r="AQ4" s="2">
        <v>2.79</v>
      </c>
      <c r="AR4" s="2">
        <v>114.27</v>
      </c>
      <c r="AS4" s="2">
        <v>114.27</v>
      </c>
      <c r="AT4" t="s">
        <v>526</v>
      </c>
      <c r="AU4" t="s">
        <v>527</v>
      </c>
      <c r="AV4" t="s">
        <v>528</v>
      </c>
      <c r="AW4" t="s">
        <v>529</v>
      </c>
      <c r="AX4" t="s">
        <v>152</v>
      </c>
      <c r="AY4" t="s">
        <v>153</v>
      </c>
      <c r="AZ4" t="s">
        <v>154</v>
      </c>
      <c r="BA4" t="s">
        <v>155</v>
      </c>
      <c r="BB4" t="s">
        <v>156</v>
      </c>
      <c r="BC4" t="s">
        <v>157</v>
      </c>
      <c r="BD4">
        <v>1.31</v>
      </c>
      <c r="BE4">
        <v>1.36</v>
      </c>
      <c r="BF4">
        <v>1.42</v>
      </c>
      <c r="BG4">
        <v>1.47</v>
      </c>
      <c r="BH4">
        <v>1.53</v>
      </c>
      <c r="BI4" s="1">
        <v>45868</v>
      </c>
      <c r="BJ4" s="1">
        <v>45869</v>
      </c>
      <c r="BK4" s="1">
        <v>45870</v>
      </c>
      <c r="BL4" t="s">
        <v>37</v>
      </c>
      <c r="BM4" t="s">
        <v>37</v>
      </c>
      <c r="BN4" t="s">
        <v>37</v>
      </c>
    </row>
    <row r="5" spans="1:66" x14ac:dyDescent="0.25">
      <c r="A5" s="2" t="s">
        <v>36</v>
      </c>
      <c r="B5" s="1">
        <v>45867</v>
      </c>
      <c r="C5" t="s">
        <v>158</v>
      </c>
      <c r="D5" t="s">
        <v>159</v>
      </c>
      <c r="E5" t="s">
        <v>516</v>
      </c>
      <c r="F5" t="s">
        <v>158</v>
      </c>
      <c r="G5" t="s">
        <v>160</v>
      </c>
      <c r="H5" t="s">
        <v>114</v>
      </c>
      <c r="I5">
        <v>0</v>
      </c>
      <c r="J5" t="s">
        <v>115</v>
      </c>
      <c r="K5" t="s">
        <v>115</v>
      </c>
      <c r="L5">
        <v>1</v>
      </c>
      <c r="M5">
        <v>1</v>
      </c>
      <c r="N5">
        <v>1</v>
      </c>
      <c r="O5">
        <v>1</v>
      </c>
      <c r="P5">
        <v>1</v>
      </c>
      <c r="Q5" s="1">
        <v>45867</v>
      </c>
      <c r="R5">
        <v>1000.14</v>
      </c>
      <c r="S5">
        <v>1000.14</v>
      </c>
      <c r="T5">
        <v>0</v>
      </c>
      <c r="U5">
        <v>100.14</v>
      </c>
      <c r="V5">
        <v>100.14</v>
      </c>
      <c r="W5" t="s">
        <v>161</v>
      </c>
      <c r="X5">
        <v>1.1399999999999999</v>
      </c>
      <c r="Y5">
        <v>1.1399999999999999</v>
      </c>
      <c r="Z5" t="s">
        <v>147</v>
      </c>
      <c r="AA5">
        <v>2.14</v>
      </c>
      <c r="AB5">
        <v>2.14</v>
      </c>
      <c r="AC5" t="s">
        <v>162</v>
      </c>
      <c r="AD5">
        <v>3.14</v>
      </c>
      <c r="AE5">
        <v>3.04</v>
      </c>
      <c r="AF5" t="s">
        <v>41</v>
      </c>
      <c r="AG5" t="s">
        <v>163</v>
      </c>
      <c r="AH5" t="s">
        <v>118</v>
      </c>
      <c r="AI5" t="s">
        <v>119</v>
      </c>
      <c r="AJ5" t="s">
        <v>36</v>
      </c>
      <c r="AK5">
        <v>93.82</v>
      </c>
      <c r="AL5">
        <v>12</v>
      </c>
      <c r="AM5">
        <v>5.63</v>
      </c>
      <c r="AN5">
        <v>5.63</v>
      </c>
      <c r="AO5">
        <v>0</v>
      </c>
      <c r="AP5">
        <v>0.94</v>
      </c>
      <c r="AQ5">
        <v>12.2</v>
      </c>
      <c r="AR5">
        <v>106.02</v>
      </c>
      <c r="AS5">
        <v>106.02</v>
      </c>
      <c r="AT5" t="s">
        <v>530</v>
      </c>
      <c r="AU5" t="s">
        <v>531</v>
      </c>
      <c r="AV5" t="s">
        <v>532</v>
      </c>
      <c r="AW5" t="s">
        <v>533</v>
      </c>
      <c r="AX5" t="s">
        <v>164</v>
      </c>
      <c r="AY5" t="s">
        <v>165</v>
      </c>
      <c r="AZ5" t="s">
        <v>166</v>
      </c>
      <c r="BA5" t="s">
        <v>167</v>
      </c>
      <c r="BB5" t="s">
        <v>168</v>
      </c>
      <c r="BC5" t="s">
        <v>169</v>
      </c>
      <c r="BD5">
        <v>1.32</v>
      </c>
      <c r="BE5">
        <v>1.37</v>
      </c>
      <c r="BF5">
        <v>1.43</v>
      </c>
      <c r="BG5">
        <v>1.48</v>
      </c>
      <c r="BH5">
        <v>1.54</v>
      </c>
      <c r="BI5" s="1">
        <v>45871</v>
      </c>
      <c r="BJ5" s="1">
        <v>45872</v>
      </c>
      <c r="BK5" s="1">
        <v>45873</v>
      </c>
      <c r="BL5" t="s">
        <v>37</v>
      </c>
      <c r="BM5" t="s">
        <v>37</v>
      </c>
      <c r="BN5" t="s">
        <v>37</v>
      </c>
    </row>
    <row r="6" spans="1:66" x14ac:dyDescent="0.25">
      <c r="A6" s="2" t="s">
        <v>36</v>
      </c>
      <c r="B6" s="1">
        <v>45867</v>
      </c>
      <c r="C6" t="s">
        <v>170</v>
      </c>
      <c r="D6" t="s">
        <v>171</v>
      </c>
      <c r="E6" t="s">
        <v>517</v>
      </c>
      <c r="F6" t="s">
        <v>36</v>
      </c>
      <c r="G6" t="s">
        <v>172</v>
      </c>
      <c r="H6" t="s">
        <v>114</v>
      </c>
      <c r="I6">
        <v>0</v>
      </c>
      <c r="J6" t="s">
        <v>115</v>
      </c>
      <c r="K6" t="s">
        <v>115</v>
      </c>
      <c r="L6">
        <v>1</v>
      </c>
      <c r="M6">
        <v>1.1200000000000001</v>
      </c>
      <c r="N6">
        <v>1.1200000000000001</v>
      </c>
      <c r="O6">
        <v>1.1200000000000001</v>
      </c>
      <c r="P6">
        <v>1.1200000000000001</v>
      </c>
      <c r="Q6" s="1">
        <v>45867</v>
      </c>
      <c r="R6">
        <v>1000.15</v>
      </c>
      <c r="S6">
        <v>1120.17</v>
      </c>
      <c r="T6">
        <v>0</v>
      </c>
      <c r="U6">
        <v>100.15</v>
      </c>
      <c r="V6">
        <v>112.17</v>
      </c>
      <c r="W6" t="s">
        <v>116</v>
      </c>
      <c r="X6">
        <v>1.1499999999999999</v>
      </c>
      <c r="Y6">
        <v>1.29</v>
      </c>
      <c r="Z6" t="s">
        <v>161</v>
      </c>
      <c r="AA6">
        <v>2.15</v>
      </c>
      <c r="AB6">
        <v>2.15</v>
      </c>
      <c r="AC6" t="s">
        <v>173</v>
      </c>
      <c r="AD6">
        <v>3.15</v>
      </c>
      <c r="AE6">
        <v>3.47</v>
      </c>
      <c r="AF6" t="s">
        <v>41</v>
      </c>
      <c r="AG6" t="s">
        <v>174</v>
      </c>
      <c r="AH6" t="s">
        <v>175</v>
      </c>
      <c r="AI6" t="s">
        <v>176</v>
      </c>
      <c r="AJ6" t="s">
        <v>36</v>
      </c>
      <c r="AK6">
        <v>105.26</v>
      </c>
      <c r="AL6">
        <v>28</v>
      </c>
      <c r="AM6">
        <v>14.74</v>
      </c>
      <c r="AN6">
        <v>14.74</v>
      </c>
      <c r="AO6">
        <v>0</v>
      </c>
      <c r="AP6">
        <v>15.79</v>
      </c>
      <c r="AQ6">
        <v>45.27</v>
      </c>
      <c r="AR6">
        <v>150.53</v>
      </c>
      <c r="AS6">
        <v>150.53</v>
      </c>
      <c r="AT6" t="s">
        <v>534</v>
      </c>
      <c r="AU6" t="s">
        <v>535</v>
      </c>
      <c r="AV6" t="s">
        <v>536</v>
      </c>
      <c r="AW6" t="s">
        <v>537</v>
      </c>
      <c r="AX6" t="s">
        <v>177</v>
      </c>
      <c r="AY6" t="s">
        <v>178</v>
      </c>
      <c r="AZ6" t="s">
        <v>179</v>
      </c>
      <c r="BA6" t="s">
        <v>180</v>
      </c>
      <c r="BB6" t="s">
        <v>181</v>
      </c>
      <c r="BC6" t="s">
        <v>182</v>
      </c>
      <c r="BD6">
        <v>1.33</v>
      </c>
      <c r="BE6">
        <v>1.38</v>
      </c>
      <c r="BF6">
        <v>1.44</v>
      </c>
      <c r="BG6">
        <v>1.49</v>
      </c>
      <c r="BH6">
        <v>1.55</v>
      </c>
      <c r="BI6" s="1">
        <v>45874</v>
      </c>
      <c r="BJ6" s="1">
        <v>45875</v>
      </c>
      <c r="BK6" s="1">
        <v>45876</v>
      </c>
      <c r="BL6" t="s">
        <v>37</v>
      </c>
      <c r="BM6" t="s">
        <v>37</v>
      </c>
      <c r="BN6" t="s">
        <v>37</v>
      </c>
    </row>
    <row r="8" spans="1:66" s="3" customFormat="1" x14ac:dyDescent="0.25">
      <c r="M8" s="3">
        <f>SUM(M2:M6)</f>
        <v>5.4929999999999994</v>
      </c>
      <c r="N8" s="3">
        <f>SUM(N2:N6)</f>
        <v>5.4929999999999994</v>
      </c>
      <c r="O8" s="3">
        <f>SUM(O2:O6)</f>
        <v>5.4929999999999994</v>
      </c>
      <c r="P8" s="3">
        <f>SUM(P2:P6)</f>
        <v>5.4929999999999994</v>
      </c>
      <c r="S8" s="3">
        <f>SUM(S2:S6)</f>
        <v>5493.71</v>
      </c>
      <c r="V8" s="3">
        <f>SUM(V2:V6)</f>
        <v>550.01</v>
      </c>
      <c r="Y8" s="2">
        <f>SUM(Y2:Y6)</f>
        <v>4.95</v>
      </c>
      <c r="Z8" s="2"/>
      <c r="AA8" s="2"/>
      <c r="AB8" s="2">
        <f>SUM(AB2:AB6)</f>
        <v>9.0500000000000007</v>
      </c>
      <c r="AC8" s="2"/>
      <c r="AD8" s="2"/>
      <c r="AE8" s="2">
        <f>SUM(AE2:AE6)</f>
        <v>13.520000000000001</v>
      </c>
      <c r="AF8" s="2"/>
      <c r="AG8" s="2"/>
      <c r="AH8" s="2"/>
      <c r="AI8" s="2"/>
      <c r="AJ8" s="2"/>
      <c r="AK8" s="2">
        <f>SUM(AK2:AK6)</f>
        <v>522.49</v>
      </c>
      <c r="AL8" s="2"/>
      <c r="AM8" s="2">
        <f t="shared" ref="AM8:AS8" si="0">SUM(AM2:AM6)</f>
        <v>37.130000000000003</v>
      </c>
      <c r="AN8" s="2">
        <f t="shared" si="0"/>
        <v>37.130000000000003</v>
      </c>
      <c r="AO8" s="2">
        <f t="shared" si="0"/>
        <v>0</v>
      </c>
      <c r="AP8" s="2">
        <f t="shared" si="0"/>
        <v>29.549999999999997</v>
      </c>
      <c r="AQ8" s="2">
        <f t="shared" si="0"/>
        <v>103.81</v>
      </c>
      <c r="AR8" s="2">
        <f t="shared" si="0"/>
        <v>626.29999999999995</v>
      </c>
      <c r="AS8" s="2">
        <f t="shared" si="0"/>
        <v>626.29999999999995</v>
      </c>
    </row>
    <row r="9" spans="1:66" s="3" customFormat="1" x14ac:dyDescent="0.25"/>
    <row r="10" spans="1:66" s="3" customFormat="1" x14ac:dyDescent="0.25">
      <c r="V10" s="3">
        <f>U2*$O2</f>
        <v>112.42353</v>
      </c>
      <c r="Y10" s="3">
        <f>$V10*X2%</f>
        <v>1.247901183</v>
      </c>
      <c r="AB10" s="3">
        <f>$V10*AA2%</f>
        <v>2.3721364829999998</v>
      </c>
      <c r="AE10" s="3">
        <f>$V10*AD2%</f>
        <v>3.4963717829999998</v>
      </c>
      <c r="AG10" s="3">
        <f>SUM(Y10:AE10)</f>
        <v>7.1164094489999998</v>
      </c>
      <c r="AK10" s="3">
        <f>$V10-AG10</f>
        <v>105.307120551</v>
      </c>
      <c r="AQ10" s="3">
        <f>$AK10*AL2%+AP2</f>
        <v>13.68685446612</v>
      </c>
      <c r="AR10" s="3">
        <f>ROUND(AK10+AQ10,2)</f>
        <v>118.99</v>
      </c>
    </row>
    <row r="11" spans="1:66" s="3" customFormat="1" x14ac:dyDescent="0.25">
      <c r="V11" s="3">
        <f>U3*$O3</f>
        <v>112.53488000000002</v>
      </c>
      <c r="Y11" s="3">
        <f>$V11*X3%</f>
        <v>1.2603906560000004</v>
      </c>
      <c r="AB11" s="3">
        <f>($V11-$Y11)*AA3%</f>
        <v>2.3590191740928002</v>
      </c>
      <c r="AE11" s="3">
        <f>($V11-$Y11)*AD3%</f>
        <v>3.4717640675328005</v>
      </c>
      <c r="AG11" s="3">
        <f>SUM(Y11:AE11)</f>
        <v>7.0911738976256018</v>
      </c>
      <c r="AK11" s="3">
        <f>$V11-AG11</f>
        <v>105.44370610237442</v>
      </c>
      <c r="AQ11" s="3">
        <f>$AK11*AL3%+AP3</f>
        <v>29.639867098427395</v>
      </c>
      <c r="AR11" s="3">
        <f>ROUND(AK11+AQ11,2)</f>
        <v>135.08000000000001</v>
      </c>
    </row>
    <row r="12" spans="1:66" s="3" customFormat="1" x14ac:dyDescent="0.25">
      <c r="V12" s="3">
        <f>U4*$O4</f>
        <v>112.74637999999999</v>
      </c>
      <c r="Y12" s="3">
        <f>X4/$O4</f>
        <v>1.0035523978685612</v>
      </c>
      <c r="AB12" s="3">
        <f>($V12-$Y12)*AA4%</f>
        <v>2.3801222279253995</v>
      </c>
      <c r="AE12" s="3">
        <f>($V12-$Y12-$AB12)*AD4%</f>
        <v>3.4230526782126489</v>
      </c>
      <c r="AG12" s="3">
        <f>SUM(Y12:AE12)</f>
        <v>6.8067273040066096</v>
      </c>
      <c r="AK12" s="3">
        <f>$V12-AG12</f>
        <v>105.93965269599337</v>
      </c>
      <c r="AQ12" s="3">
        <f>$AK12*AL4%+AP4</f>
        <v>2.6990947904399007</v>
      </c>
      <c r="AR12" s="3">
        <f>ROUND(AK12+AQ12,2)</f>
        <v>108.64</v>
      </c>
    </row>
    <row r="13" spans="1:66" s="3" customFormat="1" x14ac:dyDescent="0.25">
      <c r="V13" s="3">
        <f>U5*$O5</f>
        <v>100.14</v>
      </c>
      <c r="Y13" s="3">
        <f>X5</f>
        <v>1.1399999999999999</v>
      </c>
      <c r="AB13" s="3">
        <f>AA5/$O5</f>
        <v>2.14</v>
      </c>
      <c r="AE13" s="3">
        <f>($V13-$Y13-$AB13)*AD5%</f>
        <v>3.0414040000000004</v>
      </c>
      <c r="AG13" s="3">
        <f>SUM(Y13:AE13)</f>
        <v>6.3214040000000011</v>
      </c>
      <c r="AK13" s="3">
        <f>$V13-AG13</f>
        <v>93.818595999999999</v>
      </c>
      <c r="AQ13" s="3">
        <f>$AK13*AL5%+AP5</f>
        <v>12.198231519999998</v>
      </c>
      <c r="AR13" s="3">
        <f>ROUND(AK13+AQ13,2)</f>
        <v>106.02</v>
      </c>
    </row>
    <row r="14" spans="1:66" s="3" customFormat="1" x14ac:dyDescent="0.25">
      <c r="V14" s="3">
        <f>U6*$O6</f>
        <v>112.16800000000002</v>
      </c>
      <c r="Y14" s="3">
        <f>$V14*X6%</f>
        <v>1.2899320000000003</v>
      </c>
      <c r="AB14" s="3">
        <f>AA6</f>
        <v>2.15</v>
      </c>
      <c r="AE14" s="3">
        <f>($V14-$AB14)*AD6%</f>
        <v>3.4655670000000005</v>
      </c>
      <c r="AG14" s="3">
        <f>SUM(Y14:AE14)</f>
        <v>6.9054990000000007</v>
      </c>
      <c r="AK14" s="3">
        <f>$V14-AG14</f>
        <v>105.26250100000001</v>
      </c>
      <c r="AQ14" s="3">
        <f>$AK14*AL6%+AP6</f>
        <v>45.263500280000002</v>
      </c>
      <c r="AR14" s="3">
        <f>ROUND(AK14+AQ14,2)</f>
        <v>150.53</v>
      </c>
    </row>
    <row r="15" spans="1:66" s="3" customFormat="1" x14ac:dyDescent="0.25"/>
    <row r="16" spans="1:66" s="3" customFormat="1" x14ac:dyDescent="0.25">
      <c r="V16" s="3">
        <f>SUM(V10:V14)</f>
        <v>550.01279</v>
      </c>
      <c r="Y16" s="3">
        <f>SUM(Y10:Y14)</f>
        <v>5.941776236868562</v>
      </c>
      <c r="AB16" s="3">
        <f>SUM(AB10:AB14)</f>
        <v>11.401277885018199</v>
      </c>
      <c r="AE16" s="3">
        <f>SUM(AE10:AE14)</f>
        <v>16.898159528745449</v>
      </c>
      <c r="AG16" s="3">
        <f>SUM(AG10:AG14)</f>
        <v>34.241213650632211</v>
      </c>
      <c r="AK16" s="3">
        <f>SUM(AK10:AK14)</f>
        <v>515.77157634936782</v>
      </c>
      <c r="AQ16" s="3">
        <f>SUM(AQ10:AQ14)</f>
        <v>103.48754815498731</v>
      </c>
      <c r="AR16" s="3">
        <f>SUM(AR10:AR14)</f>
        <v>619.26</v>
      </c>
    </row>
  </sheetData>
  <phoneticPr fontId="1" type="noConversion"/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workbookViewId="0">
      <selection activeCell="M6" sqref="M6"/>
    </sheetView>
  </sheetViews>
  <sheetFormatPr defaultRowHeight="15" x14ac:dyDescent="0.25"/>
  <cols>
    <col min="1" max="1" width="20.42578125" bestFit="1" customWidth="1"/>
    <col min="2" max="2" width="12.7109375" bestFit="1" customWidth="1"/>
    <col min="3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6.42578125" bestFit="1" customWidth="1"/>
    <col min="11" max="11" width="11" bestFit="1" customWidth="1"/>
    <col min="12" max="12" width="29.42578125" bestFit="1" customWidth="1"/>
    <col min="13" max="13" width="16.5703125" bestFit="1" customWidth="1"/>
    <col min="14" max="14" width="12" bestFit="1" customWidth="1"/>
    <col min="15" max="15" width="17.42578125" bestFit="1" customWidth="1"/>
    <col min="16" max="16" width="16.140625" bestFit="1" customWidth="1"/>
    <col min="17" max="17" width="10.7109375" bestFit="1" customWidth="1"/>
  </cols>
  <sheetData>
    <row r="1" spans="1:17" x14ac:dyDescent="0.2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</row>
    <row r="2" spans="1:17" x14ac:dyDescent="0.25">
      <c r="A2" t="s">
        <v>191</v>
      </c>
      <c r="B2" t="s">
        <v>195</v>
      </c>
      <c r="C2" t="s">
        <v>196</v>
      </c>
      <c r="D2" t="s">
        <v>197</v>
      </c>
      <c r="E2">
        <v>550.01</v>
      </c>
      <c r="F2">
        <v>1.62</v>
      </c>
      <c r="G2" t="s">
        <v>41</v>
      </c>
      <c r="H2">
        <v>8.91</v>
      </c>
      <c r="I2">
        <v>8.91</v>
      </c>
      <c r="J2">
        <v>8.91</v>
      </c>
      <c r="K2">
        <v>0</v>
      </c>
      <c r="L2">
        <v>0</v>
      </c>
      <c r="M2" t="s">
        <v>198</v>
      </c>
      <c r="N2" t="s">
        <v>199</v>
      </c>
      <c r="O2" t="s">
        <v>200</v>
      </c>
      <c r="P2" t="s">
        <v>201</v>
      </c>
      <c r="Q2" t="s">
        <v>202</v>
      </c>
    </row>
    <row r="3" spans="1:17" x14ac:dyDescent="0.25">
      <c r="A3" t="s">
        <v>191</v>
      </c>
      <c r="B3" t="s">
        <v>203</v>
      </c>
      <c r="C3" t="s">
        <v>204</v>
      </c>
      <c r="D3" s="2" t="s">
        <v>205</v>
      </c>
      <c r="E3" s="2">
        <v>27.52</v>
      </c>
      <c r="F3">
        <v>1.63</v>
      </c>
      <c r="G3" t="s">
        <v>41</v>
      </c>
      <c r="H3" s="2">
        <v>0.45</v>
      </c>
      <c r="I3" s="2">
        <v>0.45</v>
      </c>
      <c r="J3" s="2">
        <v>0.45</v>
      </c>
      <c r="K3">
        <v>0</v>
      </c>
      <c r="L3">
        <v>0</v>
      </c>
      <c r="M3" t="s">
        <v>206</v>
      </c>
      <c r="N3" t="s">
        <v>207</v>
      </c>
      <c r="O3" t="s">
        <v>208</v>
      </c>
      <c r="P3" t="s">
        <v>209</v>
      </c>
      <c r="Q3" t="s">
        <v>210</v>
      </c>
    </row>
    <row r="4" spans="1:17" x14ac:dyDescent="0.25">
      <c r="A4" t="s">
        <v>193</v>
      </c>
      <c r="B4" t="s">
        <v>211</v>
      </c>
      <c r="C4" t="s">
        <v>212</v>
      </c>
      <c r="D4" s="2" t="s">
        <v>213</v>
      </c>
      <c r="E4" s="2">
        <v>522.49</v>
      </c>
      <c r="F4">
        <v>1.64</v>
      </c>
      <c r="G4" t="s">
        <v>41</v>
      </c>
      <c r="H4" s="2">
        <v>8.57</v>
      </c>
      <c r="I4">
        <v>0</v>
      </c>
      <c r="J4">
        <v>0</v>
      </c>
      <c r="K4" s="2">
        <v>8.57</v>
      </c>
      <c r="L4" s="2">
        <v>8.57</v>
      </c>
      <c r="M4" t="s">
        <v>214</v>
      </c>
      <c r="N4" t="s">
        <v>215</v>
      </c>
      <c r="O4" t="s">
        <v>216</v>
      </c>
      <c r="P4" t="s">
        <v>217</v>
      </c>
      <c r="Q4" t="s">
        <v>218</v>
      </c>
    </row>
    <row r="5" spans="1:17" x14ac:dyDescent="0.25">
      <c r="A5" t="s">
        <v>193</v>
      </c>
      <c r="B5" t="s">
        <v>219</v>
      </c>
      <c r="C5" t="s">
        <v>220</v>
      </c>
      <c r="D5" s="2" t="s">
        <v>221</v>
      </c>
      <c r="E5" s="2">
        <v>626.29999999999995</v>
      </c>
      <c r="F5">
        <v>1.65</v>
      </c>
      <c r="G5" t="s">
        <v>41</v>
      </c>
      <c r="H5" s="2">
        <v>10.33</v>
      </c>
      <c r="I5">
        <v>0</v>
      </c>
      <c r="J5">
        <v>0</v>
      </c>
      <c r="K5" s="2">
        <v>10.33</v>
      </c>
      <c r="L5" s="2">
        <v>10.33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</row>
    <row r="6" spans="1:17" x14ac:dyDescent="0.25">
      <c r="A6" t="s">
        <v>193</v>
      </c>
      <c r="B6" t="s">
        <v>227</v>
      </c>
      <c r="C6" t="s">
        <v>228</v>
      </c>
      <c r="D6" s="2" t="s">
        <v>229</v>
      </c>
      <c r="E6" s="2">
        <v>616.76</v>
      </c>
      <c r="F6">
        <v>1.66</v>
      </c>
      <c r="G6" t="s">
        <v>41</v>
      </c>
      <c r="H6" s="2">
        <v>10.24</v>
      </c>
      <c r="I6">
        <v>0</v>
      </c>
      <c r="J6">
        <v>0</v>
      </c>
      <c r="K6" s="2">
        <v>10.24</v>
      </c>
      <c r="L6" s="2">
        <v>10.24</v>
      </c>
      <c r="M6" t="s">
        <v>230</v>
      </c>
      <c r="N6" t="s">
        <v>231</v>
      </c>
      <c r="O6" t="s">
        <v>232</v>
      </c>
      <c r="P6" t="s">
        <v>233</v>
      </c>
      <c r="Q6" t="s">
        <v>234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6"/>
  <sheetViews>
    <sheetView topLeftCell="J1" workbookViewId="0">
      <selection activeCell="T3" sqref="T3"/>
    </sheetView>
  </sheetViews>
  <sheetFormatPr defaultRowHeight="15" x14ac:dyDescent="0.25"/>
  <cols>
    <col min="1" max="2" width="16.7109375" bestFit="1" customWidth="1"/>
    <col min="3" max="3" width="10.140625" bestFit="1" customWidth="1"/>
    <col min="4" max="4" width="16.140625" bestFit="1" customWidth="1"/>
    <col min="5" max="5" width="11.85546875" bestFit="1" customWidth="1"/>
    <col min="6" max="6" width="8.140625" bestFit="1" customWidth="1"/>
    <col min="7" max="7" width="14.5703125" bestFit="1" customWidth="1"/>
    <col min="8" max="8" width="19.28515625" bestFit="1" customWidth="1"/>
    <col min="9" max="9" width="20.140625" bestFit="1" customWidth="1"/>
    <col min="10" max="11" width="19.42578125" bestFit="1" customWidth="1"/>
    <col min="12" max="12" width="14.42578125" bestFit="1" customWidth="1"/>
    <col min="13" max="13" width="5.42578125" bestFit="1" customWidth="1"/>
    <col min="14" max="14" width="5.28515625" bestFit="1" customWidth="1"/>
    <col min="15" max="15" width="4.85546875" bestFit="1" customWidth="1"/>
    <col min="16" max="16" width="5.140625" bestFit="1" customWidth="1"/>
    <col min="17" max="18" width="11.42578125" bestFit="1" customWidth="1"/>
    <col min="19" max="19" width="30" bestFit="1" customWidth="1"/>
    <col min="20" max="20" width="14.28515625" bestFit="1" customWidth="1"/>
    <col min="21" max="21" width="10.5703125" bestFit="1" customWidth="1"/>
    <col min="22" max="22" width="15" bestFit="1" customWidth="1"/>
    <col min="23" max="23" width="13.85546875" bestFit="1" customWidth="1"/>
    <col min="24" max="24" width="13.42578125" bestFit="1" customWidth="1"/>
  </cols>
  <sheetData>
    <row r="1" spans="1:24" x14ac:dyDescent="0.25">
      <c r="A1" t="s">
        <v>184</v>
      </c>
      <c r="B1" t="s">
        <v>185</v>
      </c>
      <c r="C1" t="s">
        <v>53</v>
      </c>
      <c r="D1" t="s">
        <v>54</v>
      </c>
      <c r="E1" t="s">
        <v>78</v>
      </c>
      <c r="F1" t="s">
        <v>190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7</v>
      </c>
      <c r="N1" t="s">
        <v>8</v>
      </c>
      <c r="O1" t="s">
        <v>9</v>
      </c>
      <c r="P1" t="s">
        <v>10</v>
      </c>
      <c r="Q1" t="s">
        <v>86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</row>
    <row r="2" spans="1:24" x14ac:dyDescent="0.25">
      <c r="A2" t="s">
        <v>235</v>
      </c>
      <c r="B2" t="s">
        <v>235</v>
      </c>
      <c r="C2" t="s">
        <v>146</v>
      </c>
      <c r="D2" t="s">
        <v>236</v>
      </c>
      <c r="E2" t="s">
        <v>41</v>
      </c>
      <c r="F2">
        <v>1.56</v>
      </c>
      <c r="G2" t="s">
        <v>150</v>
      </c>
      <c r="H2" t="s">
        <v>151</v>
      </c>
      <c r="I2" t="s">
        <v>119</v>
      </c>
      <c r="J2" t="s">
        <v>36</v>
      </c>
      <c r="K2">
        <v>1.56</v>
      </c>
      <c r="L2">
        <v>1.5</v>
      </c>
      <c r="M2">
        <v>0.01</v>
      </c>
      <c r="N2">
        <v>0.01</v>
      </c>
      <c r="O2">
        <v>0</v>
      </c>
      <c r="P2">
        <v>0.02</v>
      </c>
      <c r="Q2">
        <v>0.04</v>
      </c>
      <c r="R2">
        <v>1.6</v>
      </c>
      <c r="S2">
        <v>1.6</v>
      </c>
      <c r="T2" t="s">
        <v>237</v>
      </c>
      <c r="U2" t="s">
        <v>238</v>
      </c>
      <c r="V2" t="s">
        <v>239</v>
      </c>
      <c r="W2" t="s">
        <v>240</v>
      </c>
      <c r="X2" t="s">
        <v>241</v>
      </c>
    </row>
    <row r="3" spans="1:24" x14ac:dyDescent="0.25">
      <c r="A3" t="s">
        <v>242</v>
      </c>
      <c r="B3" t="s">
        <v>242</v>
      </c>
      <c r="C3" t="s">
        <v>132</v>
      </c>
      <c r="D3" t="s">
        <v>114</v>
      </c>
      <c r="E3" t="s">
        <v>41</v>
      </c>
      <c r="F3">
        <v>1.57</v>
      </c>
      <c r="G3" t="s">
        <v>135</v>
      </c>
      <c r="H3" t="s">
        <v>136</v>
      </c>
      <c r="I3" t="s">
        <v>137</v>
      </c>
      <c r="J3" t="s">
        <v>36</v>
      </c>
      <c r="K3">
        <v>1.57</v>
      </c>
      <c r="L3">
        <v>18</v>
      </c>
      <c r="M3">
        <v>0.14000000000000001</v>
      </c>
      <c r="N3">
        <v>0.14000000000000001</v>
      </c>
      <c r="O3">
        <v>0</v>
      </c>
      <c r="P3">
        <v>0.16</v>
      </c>
      <c r="Q3">
        <v>0.44</v>
      </c>
      <c r="R3">
        <v>2.0099999999999998</v>
      </c>
      <c r="S3">
        <v>2.0099999999999998</v>
      </c>
      <c r="T3" t="s">
        <v>243</v>
      </c>
      <c r="U3" t="s">
        <v>244</v>
      </c>
      <c r="V3" t="s">
        <v>245</v>
      </c>
      <c r="W3" t="s">
        <v>246</v>
      </c>
      <c r="X3" t="s">
        <v>247</v>
      </c>
    </row>
    <row r="4" spans="1:24" x14ac:dyDescent="0.25">
      <c r="A4" t="s">
        <v>248</v>
      </c>
      <c r="B4" t="s">
        <v>248</v>
      </c>
      <c r="C4" t="s">
        <v>160</v>
      </c>
      <c r="D4" t="s">
        <v>114</v>
      </c>
      <c r="E4" t="s">
        <v>41</v>
      </c>
      <c r="F4">
        <v>1.58</v>
      </c>
      <c r="G4" t="s">
        <v>163</v>
      </c>
      <c r="H4" t="s">
        <v>118</v>
      </c>
      <c r="I4" t="s">
        <v>119</v>
      </c>
      <c r="J4" t="s">
        <v>36</v>
      </c>
      <c r="K4">
        <v>1.58</v>
      </c>
      <c r="L4">
        <v>12</v>
      </c>
      <c r="M4">
        <v>0.09</v>
      </c>
      <c r="N4">
        <v>0.09</v>
      </c>
      <c r="O4">
        <v>0</v>
      </c>
      <c r="P4">
        <v>0.02</v>
      </c>
      <c r="Q4">
        <v>0.2</v>
      </c>
      <c r="R4">
        <v>1.78</v>
      </c>
      <c r="S4">
        <v>1.78</v>
      </c>
      <c r="T4" t="s">
        <v>249</v>
      </c>
      <c r="U4" t="s">
        <v>250</v>
      </c>
      <c r="V4" t="s">
        <v>251</v>
      </c>
      <c r="W4" t="s">
        <v>252</v>
      </c>
      <c r="X4" t="s">
        <v>253</v>
      </c>
    </row>
    <row r="5" spans="1:24" x14ac:dyDescent="0.25">
      <c r="A5" t="s">
        <v>254</v>
      </c>
      <c r="B5" t="s">
        <v>254</v>
      </c>
      <c r="C5" t="s">
        <v>172</v>
      </c>
      <c r="D5" t="s">
        <v>114</v>
      </c>
      <c r="E5" t="s">
        <v>41</v>
      </c>
      <c r="F5">
        <v>1.59</v>
      </c>
      <c r="G5" t="s">
        <v>174</v>
      </c>
      <c r="H5" t="s">
        <v>175</v>
      </c>
      <c r="I5" t="s">
        <v>176</v>
      </c>
      <c r="J5" t="s">
        <v>36</v>
      </c>
      <c r="K5">
        <v>1.59</v>
      </c>
      <c r="L5">
        <v>28</v>
      </c>
      <c r="M5">
        <v>0.22</v>
      </c>
      <c r="N5">
        <v>0.22</v>
      </c>
      <c r="O5">
        <v>0</v>
      </c>
      <c r="P5">
        <v>0.24</v>
      </c>
      <c r="Q5">
        <v>0.68</v>
      </c>
      <c r="R5">
        <v>2.27</v>
      </c>
      <c r="S5">
        <v>2.27</v>
      </c>
      <c r="T5" t="s">
        <v>255</v>
      </c>
      <c r="U5" t="s">
        <v>256</v>
      </c>
      <c r="V5" t="s">
        <v>257</v>
      </c>
      <c r="W5" t="s">
        <v>258</v>
      </c>
      <c r="X5" t="s">
        <v>259</v>
      </c>
    </row>
    <row r="6" spans="1:24" x14ac:dyDescent="0.25">
      <c r="A6" t="s">
        <v>260</v>
      </c>
      <c r="B6" t="s">
        <v>260</v>
      </c>
      <c r="C6" t="s">
        <v>261</v>
      </c>
      <c r="D6" t="s">
        <v>114</v>
      </c>
      <c r="E6" t="s">
        <v>41</v>
      </c>
      <c r="F6">
        <v>1.61</v>
      </c>
      <c r="G6" t="s">
        <v>262</v>
      </c>
      <c r="H6" t="s">
        <v>263</v>
      </c>
      <c r="I6" t="s">
        <v>119</v>
      </c>
      <c r="J6" t="s">
        <v>36</v>
      </c>
      <c r="K6">
        <v>1.61</v>
      </c>
      <c r="L6">
        <v>3</v>
      </c>
      <c r="M6">
        <v>0.02</v>
      </c>
      <c r="N6">
        <v>0.02</v>
      </c>
      <c r="O6">
        <v>0</v>
      </c>
      <c r="P6">
        <v>0.02</v>
      </c>
      <c r="Q6">
        <v>0.06</v>
      </c>
      <c r="R6">
        <v>1.67</v>
      </c>
      <c r="S6">
        <v>1.67</v>
      </c>
      <c r="T6" t="s">
        <v>264</v>
      </c>
      <c r="U6" t="s">
        <v>265</v>
      </c>
      <c r="V6" t="s">
        <v>266</v>
      </c>
      <c r="W6" t="s">
        <v>267</v>
      </c>
      <c r="X6" t="s">
        <v>268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2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269</v>
      </c>
      <c r="B1" t="s">
        <v>270</v>
      </c>
      <c r="C1" t="s">
        <v>81</v>
      </c>
      <c r="D1" t="s">
        <v>271</v>
      </c>
      <c r="E1" t="s">
        <v>186</v>
      </c>
      <c r="F1" t="s">
        <v>272</v>
      </c>
      <c r="G1" t="s">
        <v>273</v>
      </c>
      <c r="H1" t="s">
        <v>274</v>
      </c>
      <c r="I1" t="s">
        <v>61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</row>
    <row r="2" spans="1:19" x14ac:dyDescent="0.25">
      <c r="A2" t="s">
        <v>7</v>
      </c>
      <c r="B2" t="s">
        <v>285</v>
      </c>
      <c r="C2" t="s">
        <v>151</v>
      </c>
      <c r="D2">
        <v>0.75</v>
      </c>
      <c r="E2" t="s">
        <v>286</v>
      </c>
      <c r="F2">
        <v>0</v>
      </c>
      <c r="G2">
        <v>0</v>
      </c>
      <c r="H2">
        <v>1.56</v>
      </c>
      <c r="I2">
        <v>0</v>
      </c>
      <c r="J2">
        <v>0.01</v>
      </c>
      <c r="K2" t="s">
        <v>287</v>
      </c>
      <c r="L2" t="s">
        <v>37</v>
      </c>
      <c r="M2">
        <v>0</v>
      </c>
      <c r="N2">
        <v>0.01</v>
      </c>
      <c r="O2">
        <v>0</v>
      </c>
      <c r="P2">
        <v>0</v>
      </c>
      <c r="Q2" t="s">
        <v>41</v>
      </c>
      <c r="R2" t="s">
        <v>36</v>
      </c>
      <c r="S2">
        <v>0.01</v>
      </c>
    </row>
    <row r="3" spans="1:19" x14ac:dyDescent="0.25">
      <c r="A3" t="s">
        <v>7</v>
      </c>
      <c r="B3" t="s">
        <v>285</v>
      </c>
      <c r="C3" t="s">
        <v>136</v>
      </c>
      <c r="D3">
        <v>9</v>
      </c>
      <c r="E3" t="s">
        <v>286</v>
      </c>
      <c r="F3">
        <v>0</v>
      </c>
      <c r="G3">
        <v>0</v>
      </c>
      <c r="H3">
        <v>1.57</v>
      </c>
      <c r="I3">
        <v>0</v>
      </c>
      <c r="J3">
        <v>0.14000000000000001</v>
      </c>
      <c r="K3" t="s">
        <v>287</v>
      </c>
      <c r="L3" t="s">
        <v>37</v>
      </c>
      <c r="M3">
        <v>0</v>
      </c>
      <c r="N3">
        <v>0.14000000000000001</v>
      </c>
      <c r="O3">
        <v>0</v>
      </c>
      <c r="P3">
        <v>0</v>
      </c>
      <c r="Q3" t="s">
        <v>41</v>
      </c>
      <c r="R3" t="s">
        <v>36</v>
      </c>
      <c r="S3">
        <v>0.14000000000000001</v>
      </c>
    </row>
    <row r="4" spans="1:19" x14ac:dyDescent="0.25">
      <c r="A4" t="s">
        <v>7</v>
      </c>
      <c r="B4" t="s">
        <v>285</v>
      </c>
      <c r="C4" t="s">
        <v>118</v>
      </c>
      <c r="D4">
        <v>6</v>
      </c>
      <c r="E4" t="s">
        <v>286</v>
      </c>
      <c r="F4">
        <v>0</v>
      </c>
      <c r="G4">
        <v>0</v>
      </c>
      <c r="H4">
        <v>1.58</v>
      </c>
      <c r="I4">
        <v>0</v>
      </c>
      <c r="J4">
        <v>0.09</v>
      </c>
      <c r="K4" t="s">
        <v>287</v>
      </c>
      <c r="L4" t="s">
        <v>37</v>
      </c>
      <c r="M4">
        <v>0</v>
      </c>
      <c r="N4">
        <v>0.09</v>
      </c>
      <c r="O4">
        <v>0</v>
      </c>
      <c r="P4">
        <v>0</v>
      </c>
      <c r="Q4" t="s">
        <v>41</v>
      </c>
      <c r="R4" t="s">
        <v>36</v>
      </c>
      <c r="S4">
        <v>0.09</v>
      </c>
    </row>
    <row r="5" spans="1:19" x14ac:dyDescent="0.25">
      <c r="A5" t="s">
        <v>7</v>
      </c>
      <c r="B5" t="s">
        <v>285</v>
      </c>
      <c r="C5" t="s">
        <v>175</v>
      </c>
      <c r="D5">
        <v>14</v>
      </c>
      <c r="E5" t="s">
        <v>286</v>
      </c>
      <c r="F5">
        <v>0</v>
      </c>
      <c r="G5">
        <v>0</v>
      </c>
      <c r="H5">
        <v>1.59</v>
      </c>
      <c r="I5">
        <v>0</v>
      </c>
      <c r="J5">
        <v>0.22</v>
      </c>
      <c r="K5" t="s">
        <v>287</v>
      </c>
      <c r="L5" t="s">
        <v>37</v>
      </c>
      <c r="M5">
        <v>0</v>
      </c>
      <c r="N5">
        <v>0.22</v>
      </c>
      <c r="O5">
        <v>0</v>
      </c>
      <c r="P5">
        <v>0</v>
      </c>
      <c r="Q5" t="s">
        <v>41</v>
      </c>
      <c r="R5" t="s">
        <v>36</v>
      </c>
      <c r="S5">
        <v>0.22</v>
      </c>
    </row>
    <row r="6" spans="1:19" x14ac:dyDescent="0.25">
      <c r="A6" t="s">
        <v>7</v>
      </c>
      <c r="B6" t="s">
        <v>285</v>
      </c>
      <c r="C6" t="s">
        <v>263</v>
      </c>
      <c r="D6">
        <v>1.5</v>
      </c>
      <c r="E6" t="s">
        <v>286</v>
      </c>
      <c r="F6">
        <v>0</v>
      </c>
      <c r="G6">
        <v>0</v>
      </c>
      <c r="H6">
        <v>1.61</v>
      </c>
      <c r="I6">
        <v>0</v>
      </c>
      <c r="J6">
        <v>0.02</v>
      </c>
      <c r="K6" t="s">
        <v>287</v>
      </c>
      <c r="L6" t="s">
        <v>37</v>
      </c>
      <c r="M6">
        <v>0</v>
      </c>
      <c r="N6">
        <v>0.02</v>
      </c>
      <c r="O6">
        <v>0</v>
      </c>
      <c r="P6">
        <v>0</v>
      </c>
      <c r="Q6" t="s">
        <v>41</v>
      </c>
      <c r="R6" t="s">
        <v>36</v>
      </c>
      <c r="S6">
        <v>0.02</v>
      </c>
    </row>
    <row r="7" spans="1:19" x14ac:dyDescent="0.25">
      <c r="A7" t="s">
        <v>7</v>
      </c>
      <c r="B7" t="s">
        <v>285</v>
      </c>
      <c r="C7" t="s">
        <v>118</v>
      </c>
      <c r="D7">
        <v>6</v>
      </c>
      <c r="E7" t="s">
        <v>286</v>
      </c>
      <c r="F7">
        <v>0</v>
      </c>
      <c r="G7">
        <v>0</v>
      </c>
      <c r="H7">
        <v>105.3</v>
      </c>
      <c r="I7">
        <v>1.123</v>
      </c>
      <c r="J7">
        <v>6.32</v>
      </c>
      <c r="K7" t="s">
        <v>287</v>
      </c>
      <c r="L7" t="s">
        <v>37</v>
      </c>
      <c r="M7">
        <v>0</v>
      </c>
      <c r="N7">
        <v>6.32</v>
      </c>
      <c r="O7">
        <v>0</v>
      </c>
      <c r="P7">
        <v>0</v>
      </c>
      <c r="Q7" t="s">
        <v>41</v>
      </c>
      <c r="R7" t="s">
        <v>36</v>
      </c>
      <c r="S7">
        <v>6.32</v>
      </c>
    </row>
    <row r="8" spans="1:19" x14ac:dyDescent="0.25">
      <c r="A8" t="s">
        <v>7</v>
      </c>
      <c r="B8" t="s">
        <v>285</v>
      </c>
      <c r="C8" t="s">
        <v>136</v>
      </c>
      <c r="D8">
        <v>9</v>
      </c>
      <c r="E8" t="s">
        <v>286</v>
      </c>
      <c r="F8">
        <v>0</v>
      </c>
      <c r="G8">
        <v>0</v>
      </c>
      <c r="H8">
        <v>106.63</v>
      </c>
      <c r="I8">
        <v>1.1240000000000001</v>
      </c>
      <c r="J8">
        <v>9.6</v>
      </c>
      <c r="K8" t="s">
        <v>287</v>
      </c>
      <c r="L8" t="s">
        <v>37</v>
      </c>
      <c r="M8">
        <v>0</v>
      </c>
      <c r="N8">
        <v>9.6</v>
      </c>
      <c r="O8">
        <v>0</v>
      </c>
      <c r="P8">
        <v>0</v>
      </c>
      <c r="Q8" t="s">
        <v>41</v>
      </c>
      <c r="R8" t="s">
        <v>36</v>
      </c>
      <c r="S8">
        <v>9.6</v>
      </c>
    </row>
    <row r="9" spans="1:19" x14ac:dyDescent="0.25">
      <c r="A9" t="s">
        <v>7</v>
      </c>
      <c r="B9" t="s">
        <v>285</v>
      </c>
      <c r="C9" t="s">
        <v>151</v>
      </c>
      <c r="D9">
        <v>0.75</v>
      </c>
      <c r="E9" t="s">
        <v>286</v>
      </c>
      <c r="F9">
        <v>0</v>
      </c>
      <c r="G9">
        <v>0</v>
      </c>
      <c r="H9">
        <v>111.48</v>
      </c>
      <c r="I9">
        <v>1.1259999999999999</v>
      </c>
      <c r="J9">
        <v>0.84</v>
      </c>
      <c r="K9" t="s">
        <v>287</v>
      </c>
      <c r="L9" t="s">
        <v>37</v>
      </c>
      <c r="M9">
        <v>0</v>
      </c>
      <c r="N9">
        <v>0.84</v>
      </c>
      <c r="O9">
        <v>0</v>
      </c>
      <c r="P9">
        <v>0</v>
      </c>
      <c r="Q9" t="s">
        <v>41</v>
      </c>
      <c r="R9" t="s">
        <v>36</v>
      </c>
      <c r="S9">
        <v>0.84</v>
      </c>
    </row>
    <row r="10" spans="1:19" x14ac:dyDescent="0.25">
      <c r="A10" t="s">
        <v>7</v>
      </c>
      <c r="B10" t="s">
        <v>285</v>
      </c>
      <c r="C10" t="s">
        <v>118</v>
      </c>
      <c r="D10">
        <v>6</v>
      </c>
      <c r="E10" t="s">
        <v>286</v>
      </c>
      <c r="F10">
        <v>0</v>
      </c>
      <c r="G10">
        <v>0</v>
      </c>
      <c r="H10">
        <v>93.82</v>
      </c>
      <c r="I10">
        <v>1</v>
      </c>
      <c r="J10">
        <v>5.63</v>
      </c>
      <c r="K10" t="s">
        <v>287</v>
      </c>
      <c r="L10" t="s">
        <v>37</v>
      </c>
      <c r="M10">
        <v>0</v>
      </c>
      <c r="N10">
        <v>5.63</v>
      </c>
      <c r="O10">
        <v>0</v>
      </c>
      <c r="P10">
        <v>0</v>
      </c>
      <c r="Q10" t="s">
        <v>41</v>
      </c>
      <c r="R10" t="s">
        <v>36</v>
      </c>
      <c r="S10">
        <v>5.63</v>
      </c>
    </row>
    <row r="11" spans="1:19" x14ac:dyDescent="0.25">
      <c r="A11" t="s">
        <v>7</v>
      </c>
      <c r="B11" t="s">
        <v>285</v>
      </c>
      <c r="C11" t="s">
        <v>175</v>
      </c>
      <c r="D11">
        <v>14</v>
      </c>
      <c r="E11" t="s">
        <v>286</v>
      </c>
      <c r="F11">
        <v>0</v>
      </c>
      <c r="G11">
        <v>0</v>
      </c>
      <c r="H11">
        <v>105.26</v>
      </c>
      <c r="I11">
        <v>1.1200000000000001</v>
      </c>
      <c r="J11">
        <v>14.74</v>
      </c>
      <c r="K11" t="s">
        <v>287</v>
      </c>
      <c r="L11" t="s">
        <v>37</v>
      </c>
      <c r="M11">
        <v>0</v>
      </c>
      <c r="N11">
        <v>14.74</v>
      </c>
      <c r="O11">
        <v>0</v>
      </c>
      <c r="P11">
        <v>0</v>
      </c>
      <c r="Q11" t="s">
        <v>41</v>
      </c>
      <c r="R11" t="s">
        <v>36</v>
      </c>
      <c r="S11">
        <v>14.74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1.8554687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269</v>
      </c>
      <c r="B1" t="s">
        <v>270</v>
      </c>
      <c r="C1" t="s">
        <v>81</v>
      </c>
      <c r="D1" t="s">
        <v>271</v>
      </c>
      <c r="E1" t="s">
        <v>186</v>
      </c>
      <c r="F1" t="s">
        <v>272</v>
      </c>
      <c r="G1" t="s">
        <v>273</v>
      </c>
      <c r="H1" t="s">
        <v>274</v>
      </c>
      <c r="I1" t="s">
        <v>61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</row>
    <row r="2" spans="1:19" x14ac:dyDescent="0.25">
      <c r="A2" t="s">
        <v>8</v>
      </c>
      <c r="B2" t="s">
        <v>285</v>
      </c>
      <c r="C2" t="s">
        <v>151</v>
      </c>
      <c r="D2">
        <v>0.75</v>
      </c>
      <c r="E2" t="s">
        <v>286</v>
      </c>
      <c r="F2">
        <v>0</v>
      </c>
      <c r="G2">
        <v>0</v>
      </c>
      <c r="H2">
        <v>1.56</v>
      </c>
      <c r="I2">
        <v>0</v>
      </c>
      <c r="J2">
        <v>0.01</v>
      </c>
      <c r="K2" t="s">
        <v>288</v>
      </c>
      <c r="L2" t="s">
        <v>37</v>
      </c>
      <c r="M2">
        <v>0</v>
      </c>
      <c r="N2">
        <v>0.01</v>
      </c>
      <c r="O2">
        <v>0</v>
      </c>
      <c r="P2">
        <v>0</v>
      </c>
      <c r="Q2" t="s">
        <v>41</v>
      </c>
      <c r="R2" t="s">
        <v>36</v>
      </c>
      <c r="S2">
        <v>0.01</v>
      </c>
    </row>
    <row r="3" spans="1:19" x14ac:dyDescent="0.25">
      <c r="A3" t="s">
        <v>8</v>
      </c>
      <c r="B3" t="s">
        <v>285</v>
      </c>
      <c r="C3" t="s">
        <v>136</v>
      </c>
      <c r="D3">
        <v>9</v>
      </c>
      <c r="E3" t="s">
        <v>286</v>
      </c>
      <c r="F3">
        <v>0</v>
      </c>
      <c r="G3">
        <v>0</v>
      </c>
      <c r="H3">
        <v>1.57</v>
      </c>
      <c r="I3">
        <v>0</v>
      </c>
      <c r="J3">
        <v>0.14000000000000001</v>
      </c>
      <c r="K3" t="s">
        <v>288</v>
      </c>
      <c r="L3" t="s">
        <v>37</v>
      </c>
      <c r="M3">
        <v>0</v>
      </c>
      <c r="N3">
        <v>0.14000000000000001</v>
      </c>
      <c r="O3">
        <v>0</v>
      </c>
      <c r="P3">
        <v>0</v>
      </c>
      <c r="Q3" t="s">
        <v>41</v>
      </c>
      <c r="R3" t="s">
        <v>36</v>
      </c>
      <c r="S3">
        <v>0.14000000000000001</v>
      </c>
    </row>
    <row r="4" spans="1:19" x14ac:dyDescent="0.25">
      <c r="A4" t="s">
        <v>8</v>
      </c>
      <c r="B4" t="s">
        <v>285</v>
      </c>
      <c r="C4" t="s">
        <v>118</v>
      </c>
      <c r="D4">
        <v>6</v>
      </c>
      <c r="E4" t="s">
        <v>286</v>
      </c>
      <c r="F4">
        <v>0</v>
      </c>
      <c r="G4">
        <v>0</v>
      </c>
      <c r="H4">
        <v>1.58</v>
      </c>
      <c r="I4">
        <v>0</v>
      </c>
      <c r="J4">
        <v>0.09</v>
      </c>
      <c r="K4" t="s">
        <v>288</v>
      </c>
      <c r="L4" t="s">
        <v>37</v>
      </c>
      <c r="M4">
        <v>0</v>
      </c>
      <c r="N4">
        <v>0.09</v>
      </c>
      <c r="O4">
        <v>0</v>
      </c>
      <c r="P4">
        <v>0</v>
      </c>
      <c r="Q4" t="s">
        <v>41</v>
      </c>
      <c r="R4" t="s">
        <v>36</v>
      </c>
      <c r="S4">
        <v>0.09</v>
      </c>
    </row>
    <row r="5" spans="1:19" x14ac:dyDescent="0.25">
      <c r="A5" t="s">
        <v>8</v>
      </c>
      <c r="B5" t="s">
        <v>285</v>
      </c>
      <c r="C5" t="s">
        <v>175</v>
      </c>
      <c r="D5">
        <v>14</v>
      </c>
      <c r="E5" t="s">
        <v>286</v>
      </c>
      <c r="F5">
        <v>0</v>
      </c>
      <c r="G5">
        <v>0</v>
      </c>
      <c r="H5">
        <v>1.59</v>
      </c>
      <c r="I5">
        <v>0</v>
      </c>
      <c r="J5">
        <v>0.22</v>
      </c>
      <c r="K5" t="s">
        <v>288</v>
      </c>
      <c r="L5" t="s">
        <v>37</v>
      </c>
      <c r="M5">
        <v>0</v>
      </c>
      <c r="N5">
        <v>0.22</v>
      </c>
      <c r="O5">
        <v>0</v>
      </c>
      <c r="P5">
        <v>0</v>
      </c>
      <c r="Q5" t="s">
        <v>41</v>
      </c>
      <c r="R5" t="s">
        <v>36</v>
      </c>
      <c r="S5">
        <v>0.22</v>
      </c>
    </row>
    <row r="6" spans="1:19" x14ac:dyDescent="0.25">
      <c r="A6" t="s">
        <v>8</v>
      </c>
      <c r="B6" t="s">
        <v>285</v>
      </c>
      <c r="C6" t="s">
        <v>263</v>
      </c>
      <c r="D6">
        <v>1.5</v>
      </c>
      <c r="E6" t="s">
        <v>286</v>
      </c>
      <c r="F6">
        <v>0</v>
      </c>
      <c r="G6">
        <v>0</v>
      </c>
      <c r="H6">
        <v>1.61</v>
      </c>
      <c r="I6">
        <v>0</v>
      </c>
      <c r="J6">
        <v>0.02</v>
      </c>
      <c r="K6" t="s">
        <v>288</v>
      </c>
      <c r="L6" t="s">
        <v>37</v>
      </c>
      <c r="M6">
        <v>0</v>
      </c>
      <c r="N6">
        <v>0.02</v>
      </c>
      <c r="O6">
        <v>0</v>
      </c>
      <c r="P6">
        <v>0</v>
      </c>
      <c r="Q6" t="s">
        <v>41</v>
      </c>
      <c r="R6" t="s">
        <v>36</v>
      </c>
      <c r="S6">
        <v>0.02</v>
      </c>
    </row>
    <row r="7" spans="1:19" x14ac:dyDescent="0.25">
      <c r="A7" t="s">
        <v>8</v>
      </c>
      <c r="B7" t="s">
        <v>285</v>
      </c>
      <c r="C7" t="s">
        <v>118</v>
      </c>
      <c r="D7">
        <v>6</v>
      </c>
      <c r="E7" t="s">
        <v>286</v>
      </c>
      <c r="F7">
        <v>0</v>
      </c>
      <c r="G7">
        <v>0</v>
      </c>
      <c r="H7">
        <v>105.3</v>
      </c>
      <c r="I7">
        <v>1.123</v>
      </c>
      <c r="J7">
        <v>6.32</v>
      </c>
      <c r="K7" t="s">
        <v>288</v>
      </c>
      <c r="L7" t="s">
        <v>37</v>
      </c>
      <c r="M7">
        <v>0</v>
      </c>
      <c r="N7">
        <v>6.32</v>
      </c>
      <c r="O7">
        <v>0</v>
      </c>
      <c r="P7">
        <v>0</v>
      </c>
      <c r="Q7" t="s">
        <v>41</v>
      </c>
      <c r="R7" t="s">
        <v>36</v>
      </c>
      <c r="S7">
        <v>6.32</v>
      </c>
    </row>
    <row r="8" spans="1:19" x14ac:dyDescent="0.25">
      <c r="A8" t="s">
        <v>8</v>
      </c>
      <c r="B8" t="s">
        <v>285</v>
      </c>
      <c r="C8" t="s">
        <v>136</v>
      </c>
      <c r="D8">
        <v>9</v>
      </c>
      <c r="E8" t="s">
        <v>286</v>
      </c>
      <c r="F8">
        <v>0</v>
      </c>
      <c r="G8">
        <v>0</v>
      </c>
      <c r="H8">
        <v>106.63</v>
      </c>
      <c r="I8">
        <v>1.1240000000000001</v>
      </c>
      <c r="J8">
        <v>9.6</v>
      </c>
      <c r="K8" t="s">
        <v>288</v>
      </c>
      <c r="L8" t="s">
        <v>37</v>
      </c>
      <c r="M8">
        <v>0</v>
      </c>
      <c r="N8">
        <v>9.6</v>
      </c>
      <c r="O8">
        <v>0</v>
      </c>
      <c r="P8">
        <v>0</v>
      </c>
      <c r="Q8" t="s">
        <v>41</v>
      </c>
      <c r="R8" t="s">
        <v>36</v>
      </c>
      <c r="S8">
        <v>9.6</v>
      </c>
    </row>
    <row r="9" spans="1:19" x14ac:dyDescent="0.25">
      <c r="A9" t="s">
        <v>8</v>
      </c>
      <c r="B9" t="s">
        <v>285</v>
      </c>
      <c r="C9" t="s">
        <v>151</v>
      </c>
      <c r="D9">
        <v>0.75</v>
      </c>
      <c r="E9" t="s">
        <v>286</v>
      </c>
      <c r="F9">
        <v>0</v>
      </c>
      <c r="G9">
        <v>0</v>
      </c>
      <c r="H9">
        <v>111.48</v>
      </c>
      <c r="I9">
        <v>1.1259999999999999</v>
      </c>
      <c r="J9">
        <v>0.84</v>
      </c>
      <c r="K9" t="s">
        <v>288</v>
      </c>
      <c r="L9" t="s">
        <v>37</v>
      </c>
      <c r="M9">
        <v>0</v>
      </c>
      <c r="N9">
        <v>0.84</v>
      </c>
      <c r="O9">
        <v>0</v>
      </c>
      <c r="P9">
        <v>0</v>
      </c>
      <c r="Q9" t="s">
        <v>41</v>
      </c>
      <c r="R9" t="s">
        <v>36</v>
      </c>
      <c r="S9">
        <v>0.84</v>
      </c>
    </row>
    <row r="10" spans="1:19" x14ac:dyDescent="0.25">
      <c r="A10" t="s">
        <v>8</v>
      </c>
      <c r="B10" t="s">
        <v>285</v>
      </c>
      <c r="C10" t="s">
        <v>118</v>
      </c>
      <c r="D10">
        <v>6</v>
      </c>
      <c r="E10" t="s">
        <v>286</v>
      </c>
      <c r="F10">
        <v>0</v>
      </c>
      <c r="G10">
        <v>0</v>
      </c>
      <c r="H10">
        <v>93.82</v>
      </c>
      <c r="I10">
        <v>1</v>
      </c>
      <c r="J10">
        <v>5.63</v>
      </c>
      <c r="K10" t="s">
        <v>288</v>
      </c>
      <c r="L10" t="s">
        <v>37</v>
      </c>
      <c r="M10">
        <v>0</v>
      </c>
      <c r="N10">
        <v>5.63</v>
      </c>
      <c r="O10">
        <v>0</v>
      </c>
      <c r="P10">
        <v>0</v>
      </c>
      <c r="Q10" t="s">
        <v>41</v>
      </c>
      <c r="R10" t="s">
        <v>36</v>
      </c>
      <c r="S10">
        <v>5.63</v>
      </c>
    </row>
    <row r="11" spans="1:19" x14ac:dyDescent="0.25">
      <c r="A11" t="s">
        <v>8</v>
      </c>
      <c r="B11" t="s">
        <v>285</v>
      </c>
      <c r="C11" t="s">
        <v>175</v>
      </c>
      <c r="D11">
        <v>14</v>
      </c>
      <c r="E11" t="s">
        <v>286</v>
      </c>
      <c r="F11">
        <v>0</v>
      </c>
      <c r="G11">
        <v>0</v>
      </c>
      <c r="H11">
        <v>105.26</v>
      </c>
      <c r="I11">
        <v>1.1200000000000001</v>
      </c>
      <c r="J11">
        <v>14.74</v>
      </c>
      <c r="K11" t="s">
        <v>288</v>
      </c>
      <c r="L11" t="s">
        <v>37</v>
      </c>
      <c r="M11">
        <v>0</v>
      </c>
      <c r="N11">
        <v>14.74</v>
      </c>
      <c r="O11">
        <v>0</v>
      </c>
      <c r="P11">
        <v>0</v>
      </c>
      <c r="Q11" t="s">
        <v>41</v>
      </c>
      <c r="R11" t="s">
        <v>36</v>
      </c>
      <c r="S11">
        <v>14.74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1" width="11.1406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269</v>
      </c>
      <c r="B1" t="s">
        <v>270</v>
      </c>
      <c r="C1" t="s">
        <v>81</v>
      </c>
      <c r="D1" t="s">
        <v>271</v>
      </c>
      <c r="E1" t="s">
        <v>186</v>
      </c>
      <c r="F1" t="s">
        <v>272</v>
      </c>
      <c r="G1" t="s">
        <v>273</v>
      </c>
      <c r="H1" t="s">
        <v>274</v>
      </c>
      <c r="I1" t="s">
        <v>61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5.285156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269</v>
      </c>
      <c r="B1" t="s">
        <v>270</v>
      </c>
      <c r="C1" t="s">
        <v>81</v>
      </c>
      <c r="D1" t="s">
        <v>271</v>
      </c>
      <c r="E1" t="s">
        <v>186</v>
      </c>
      <c r="F1" t="s">
        <v>272</v>
      </c>
      <c r="G1" t="s">
        <v>273</v>
      </c>
      <c r="H1" t="s">
        <v>274</v>
      </c>
      <c r="I1" t="s">
        <v>61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</row>
    <row r="2" spans="1:19" x14ac:dyDescent="0.25">
      <c r="A2" t="s">
        <v>10</v>
      </c>
      <c r="B2" t="s">
        <v>285</v>
      </c>
      <c r="C2" t="s">
        <v>119</v>
      </c>
      <c r="D2">
        <v>1</v>
      </c>
      <c r="E2" t="s">
        <v>286</v>
      </c>
      <c r="F2">
        <v>0</v>
      </c>
      <c r="G2">
        <v>0</v>
      </c>
      <c r="H2">
        <v>1.56</v>
      </c>
      <c r="I2">
        <v>0</v>
      </c>
      <c r="J2">
        <v>0.02</v>
      </c>
      <c r="K2" t="s">
        <v>289</v>
      </c>
      <c r="L2" t="s">
        <v>37</v>
      </c>
      <c r="M2">
        <v>0</v>
      </c>
      <c r="N2">
        <v>0.02</v>
      </c>
      <c r="O2">
        <v>0</v>
      </c>
      <c r="P2">
        <v>0</v>
      </c>
      <c r="Q2" t="s">
        <v>41</v>
      </c>
      <c r="R2" t="s">
        <v>36</v>
      </c>
      <c r="S2">
        <v>0.02</v>
      </c>
    </row>
    <row r="3" spans="1:19" x14ac:dyDescent="0.25">
      <c r="A3" t="s">
        <v>10</v>
      </c>
      <c r="B3" t="s">
        <v>285</v>
      </c>
      <c r="C3" t="s">
        <v>137</v>
      </c>
      <c r="D3">
        <v>10</v>
      </c>
      <c r="E3" t="s">
        <v>286</v>
      </c>
      <c r="F3">
        <v>0</v>
      </c>
      <c r="G3">
        <v>0</v>
      </c>
      <c r="H3">
        <v>1.57</v>
      </c>
      <c r="I3">
        <v>0</v>
      </c>
      <c r="J3">
        <v>0.16</v>
      </c>
      <c r="K3" t="s">
        <v>289</v>
      </c>
      <c r="L3" t="s">
        <v>37</v>
      </c>
      <c r="M3">
        <v>0</v>
      </c>
      <c r="N3">
        <v>0.16</v>
      </c>
      <c r="O3">
        <v>0</v>
      </c>
      <c r="P3">
        <v>0</v>
      </c>
      <c r="Q3" t="s">
        <v>41</v>
      </c>
      <c r="R3" t="s">
        <v>36</v>
      </c>
      <c r="S3">
        <v>0.16</v>
      </c>
    </row>
    <row r="4" spans="1:19" x14ac:dyDescent="0.25">
      <c r="A4" t="s">
        <v>10</v>
      </c>
      <c r="B4" t="s">
        <v>285</v>
      </c>
      <c r="C4" t="s">
        <v>119</v>
      </c>
      <c r="D4">
        <v>1</v>
      </c>
      <c r="E4" t="s">
        <v>286</v>
      </c>
      <c r="F4">
        <v>0</v>
      </c>
      <c r="G4">
        <v>0</v>
      </c>
      <c r="H4">
        <v>1.58</v>
      </c>
      <c r="I4">
        <v>0</v>
      </c>
      <c r="J4">
        <v>0.02</v>
      </c>
      <c r="K4" t="s">
        <v>289</v>
      </c>
      <c r="L4" t="s">
        <v>37</v>
      </c>
      <c r="M4">
        <v>0</v>
      </c>
      <c r="N4">
        <v>0.02</v>
      </c>
      <c r="O4">
        <v>0</v>
      </c>
      <c r="P4">
        <v>0</v>
      </c>
      <c r="Q4" t="s">
        <v>41</v>
      </c>
      <c r="R4" t="s">
        <v>36</v>
      </c>
      <c r="S4">
        <v>0.02</v>
      </c>
    </row>
    <row r="5" spans="1:19" x14ac:dyDescent="0.25">
      <c r="A5" t="s">
        <v>10</v>
      </c>
      <c r="B5" t="s">
        <v>285</v>
      </c>
      <c r="C5" t="s">
        <v>176</v>
      </c>
      <c r="D5">
        <v>15</v>
      </c>
      <c r="E5" t="s">
        <v>286</v>
      </c>
      <c r="F5">
        <v>0</v>
      </c>
      <c r="G5">
        <v>0</v>
      </c>
      <c r="H5">
        <v>1.59</v>
      </c>
      <c r="I5">
        <v>0</v>
      </c>
      <c r="J5">
        <v>0.24</v>
      </c>
      <c r="K5" t="s">
        <v>289</v>
      </c>
      <c r="L5" t="s">
        <v>37</v>
      </c>
      <c r="M5">
        <v>0</v>
      </c>
      <c r="N5">
        <v>0.24</v>
      </c>
      <c r="O5">
        <v>0</v>
      </c>
      <c r="P5">
        <v>0</v>
      </c>
      <c r="Q5" t="s">
        <v>41</v>
      </c>
      <c r="R5" t="s">
        <v>36</v>
      </c>
      <c r="S5">
        <v>0.24</v>
      </c>
    </row>
    <row r="6" spans="1:19" x14ac:dyDescent="0.25">
      <c r="A6" t="s">
        <v>10</v>
      </c>
      <c r="B6" t="s">
        <v>285</v>
      </c>
      <c r="C6" t="s">
        <v>119</v>
      </c>
      <c r="D6">
        <v>1</v>
      </c>
      <c r="E6" t="s">
        <v>286</v>
      </c>
      <c r="F6">
        <v>0</v>
      </c>
      <c r="G6">
        <v>0</v>
      </c>
      <c r="H6">
        <v>1.61</v>
      </c>
      <c r="I6">
        <v>0</v>
      </c>
      <c r="J6">
        <v>0.02</v>
      </c>
      <c r="K6" t="s">
        <v>289</v>
      </c>
      <c r="L6" t="s">
        <v>37</v>
      </c>
      <c r="M6">
        <v>0</v>
      </c>
      <c r="N6">
        <v>0.02</v>
      </c>
      <c r="O6">
        <v>0</v>
      </c>
      <c r="P6">
        <v>0</v>
      </c>
      <c r="Q6" t="s">
        <v>41</v>
      </c>
      <c r="R6" t="s">
        <v>36</v>
      </c>
      <c r="S6">
        <v>0.02</v>
      </c>
    </row>
    <row r="7" spans="1:19" x14ac:dyDescent="0.25">
      <c r="A7" t="s">
        <v>10</v>
      </c>
      <c r="B7" t="s">
        <v>285</v>
      </c>
      <c r="C7" t="s">
        <v>119</v>
      </c>
      <c r="D7">
        <v>1</v>
      </c>
      <c r="E7" t="s">
        <v>286</v>
      </c>
      <c r="F7">
        <v>0</v>
      </c>
      <c r="G7">
        <v>0</v>
      </c>
      <c r="H7">
        <v>105.3</v>
      </c>
      <c r="I7">
        <v>1.123</v>
      </c>
      <c r="J7">
        <v>1.05</v>
      </c>
      <c r="K7" t="s">
        <v>289</v>
      </c>
      <c r="L7" t="s">
        <v>37</v>
      </c>
      <c r="M7">
        <v>0</v>
      </c>
      <c r="N7">
        <v>1.05</v>
      </c>
      <c r="O7">
        <v>0</v>
      </c>
      <c r="P7">
        <v>0</v>
      </c>
      <c r="Q7" t="s">
        <v>41</v>
      </c>
      <c r="R7" t="s">
        <v>36</v>
      </c>
      <c r="S7">
        <v>1.05</v>
      </c>
    </row>
    <row r="8" spans="1:19" x14ac:dyDescent="0.25">
      <c r="A8" t="s">
        <v>10</v>
      </c>
      <c r="B8" t="s">
        <v>285</v>
      </c>
      <c r="C8" t="s">
        <v>137</v>
      </c>
      <c r="D8">
        <v>10</v>
      </c>
      <c r="E8" t="s">
        <v>286</v>
      </c>
      <c r="F8">
        <v>0</v>
      </c>
      <c r="G8">
        <v>0</v>
      </c>
      <c r="H8">
        <v>106.63</v>
      </c>
      <c r="I8">
        <v>1.1240000000000001</v>
      </c>
      <c r="J8">
        <v>10.66</v>
      </c>
      <c r="K8" t="s">
        <v>289</v>
      </c>
      <c r="L8" t="s">
        <v>37</v>
      </c>
      <c r="M8">
        <v>0</v>
      </c>
      <c r="N8">
        <v>10.66</v>
      </c>
      <c r="O8">
        <v>0</v>
      </c>
      <c r="P8">
        <v>0</v>
      </c>
      <c r="Q8" t="s">
        <v>41</v>
      </c>
      <c r="R8" t="s">
        <v>36</v>
      </c>
      <c r="S8">
        <v>10.66</v>
      </c>
    </row>
    <row r="9" spans="1:19" x14ac:dyDescent="0.25">
      <c r="A9" t="s">
        <v>10</v>
      </c>
      <c r="B9" t="s">
        <v>285</v>
      </c>
      <c r="C9" t="s">
        <v>119</v>
      </c>
      <c r="D9">
        <v>1</v>
      </c>
      <c r="E9" t="s">
        <v>286</v>
      </c>
      <c r="F9">
        <v>0</v>
      </c>
      <c r="G9">
        <v>0</v>
      </c>
      <c r="H9">
        <v>111.48</v>
      </c>
      <c r="I9">
        <v>1.1259999999999999</v>
      </c>
      <c r="J9">
        <v>1.1100000000000001</v>
      </c>
      <c r="K9" t="s">
        <v>289</v>
      </c>
      <c r="L9" t="s">
        <v>37</v>
      </c>
      <c r="M9">
        <v>0</v>
      </c>
      <c r="N9">
        <v>1.1100000000000001</v>
      </c>
      <c r="O9">
        <v>0</v>
      </c>
      <c r="P9">
        <v>0</v>
      </c>
      <c r="Q9" t="s">
        <v>41</v>
      </c>
      <c r="R9" t="s">
        <v>36</v>
      </c>
      <c r="S9">
        <v>1.1100000000000001</v>
      </c>
    </row>
    <row r="10" spans="1:19" x14ac:dyDescent="0.25">
      <c r="A10" t="s">
        <v>10</v>
      </c>
      <c r="B10" t="s">
        <v>285</v>
      </c>
      <c r="C10" t="s">
        <v>119</v>
      </c>
      <c r="D10">
        <v>1</v>
      </c>
      <c r="E10" t="s">
        <v>286</v>
      </c>
      <c r="F10">
        <v>0</v>
      </c>
      <c r="G10">
        <v>0</v>
      </c>
      <c r="H10">
        <v>93.82</v>
      </c>
      <c r="I10">
        <v>1</v>
      </c>
      <c r="J10">
        <v>0.94</v>
      </c>
      <c r="K10" t="s">
        <v>289</v>
      </c>
      <c r="L10" t="s">
        <v>37</v>
      </c>
      <c r="M10">
        <v>0</v>
      </c>
      <c r="N10">
        <v>0.94</v>
      </c>
      <c r="O10">
        <v>0</v>
      </c>
      <c r="P10">
        <v>0</v>
      </c>
      <c r="Q10" t="s">
        <v>41</v>
      </c>
      <c r="R10" t="s">
        <v>36</v>
      </c>
      <c r="S10">
        <v>0.94</v>
      </c>
    </row>
    <row r="11" spans="1:19" x14ac:dyDescent="0.25">
      <c r="A11" t="s">
        <v>10</v>
      </c>
      <c r="B11" t="s">
        <v>285</v>
      </c>
      <c r="C11" t="s">
        <v>176</v>
      </c>
      <c r="D11">
        <v>15</v>
      </c>
      <c r="E11" t="s">
        <v>286</v>
      </c>
      <c r="F11">
        <v>0</v>
      </c>
      <c r="G11">
        <v>0</v>
      </c>
      <c r="H11">
        <v>105.26</v>
      </c>
      <c r="I11">
        <v>1.1200000000000001</v>
      </c>
      <c r="J11">
        <v>15.79</v>
      </c>
      <c r="K11" t="s">
        <v>289</v>
      </c>
      <c r="L11" t="s">
        <v>37</v>
      </c>
      <c r="M11">
        <v>0</v>
      </c>
      <c r="N11">
        <v>15.79</v>
      </c>
      <c r="O11">
        <v>0</v>
      </c>
      <c r="P11">
        <v>0</v>
      </c>
      <c r="Q11" t="s">
        <v>41</v>
      </c>
      <c r="R11" t="s">
        <v>36</v>
      </c>
      <c r="S11">
        <v>15.79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6"/>
  <sheetViews>
    <sheetView workbookViewId="0"/>
  </sheetViews>
  <sheetFormatPr defaultRowHeight="15" x14ac:dyDescent="0.25"/>
  <cols>
    <col min="1" max="1" width="17" bestFit="1" customWidth="1"/>
    <col min="2" max="2" width="13.42578125" bestFit="1" customWidth="1"/>
    <col min="3" max="3" width="8.140625" bestFit="1" customWidth="1"/>
    <col min="4" max="4" width="26.5703125" bestFit="1" customWidth="1"/>
    <col min="5" max="5" width="14.28515625" bestFit="1" customWidth="1"/>
    <col min="6" max="6" width="10.5703125" bestFit="1" customWidth="1"/>
    <col min="7" max="7" width="15" bestFit="1" customWidth="1"/>
    <col min="8" max="8" width="13.85546875" bestFit="1" customWidth="1"/>
    <col min="9" max="9" width="11.85546875" bestFit="1" customWidth="1"/>
  </cols>
  <sheetData>
    <row r="1" spans="1:9" x14ac:dyDescent="0.25">
      <c r="A1" t="s">
        <v>290</v>
      </c>
      <c r="B1" t="s">
        <v>291</v>
      </c>
      <c r="C1" t="s">
        <v>190</v>
      </c>
      <c r="D1" t="s">
        <v>292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 spans="1:9" x14ac:dyDescent="0.25">
      <c r="A2" t="s">
        <v>293</v>
      </c>
      <c r="B2" t="s">
        <v>293</v>
      </c>
      <c r="C2">
        <v>11.11</v>
      </c>
      <c r="D2">
        <v>11.11</v>
      </c>
      <c r="E2" t="s">
        <v>294</v>
      </c>
      <c r="F2" t="s">
        <v>295</v>
      </c>
      <c r="G2" t="s">
        <v>296</v>
      </c>
      <c r="H2" t="s">
        <v>297</v>
      </c>
      <c r="I2" t="s">
        <v>298</v>
      </c>
    </row>
    <row r="3" spans="1:9" x14ac:dyDescent="0.25">
      <c r="A3" t="s">
        <v>299</v>
      </c>
      <c r="B3" t="s">
        <v>299</v>
      </c>
      <c r="C3">
        <v>11.12</v>
      </c>
      <c r="D3">
        <v>11.12</v>
      </c>
      <c r="E3" t="s">
        <v>300</v>
      </c>
      <c r="F3" t="s">
        <v>301</v>
      </c>
      <c r="G3" t="s">
        <v>302</v>
      </c>
      <c r="H3" t="s">
        <v>303</v>
      </c>
      <c r="I3" t="s">
        <v>304</v>
      </c>
    </row>
    <row r="4" spans="1:9" x14ac:dyDescent="0.25">
      <c r="A4" t="s">
        <v>305</v>
      </c>
      <c r="B4" t="s">
        <v>305</v>
      </c>
      <c r="C4">
        <v>11.13</v>
      </c>
      <c r="D4">
        <v>11.13</v>
      </c>
      <c r="E4" t="s">
        <v>306</v>
      </c>
      <c r="F4" t="s">
        <v>307</v>
      </c>
      <c r="G4" t="s">
        <v>308</v>
      </c>
      <c r="H4" t="s">
        <v>309</v>
      </c>
      <c r="I4" t="s">
        <v>310</v>
      </c>
    </row>
    <row r="5" spans="1:9" x14ac:dyDescent="0.25">
      <c r="A5" t="s">
        <v>311</v>
      </c>
      <c r="B5" t="s">
        <v>311</v>
      </c>
      <c r="C5">
        <v>11.14</v>
      </c>
      <c r="D5">
        <v>11.14</v>
      </c>
      <c r="E5" t="s">
        <v>312</v>
      </c>
      <c r="F5" t="s">
        <v>313</v>
      </c>
      <c r="G5" t="s">
        <v>314</v>
      </c>
      <c r="H5" t="s">
        <v>315</v>
      </c>
      <c r="I5" t="s">
        <v>316</v>
      </c>
    </row>
    <row r="6" spans="1:9" x14ac:dyDescent="0.25">
      <c r="A6" t="s">
        <v>317</v>
      </c>
      <c r="B6" t="s">
        <v>317</v>
      </c>
      <c r="C6">
        <v>11.15</v>
      </c>
      <c r="D6">
        <v>11.15</v>
      </c>
      <c r="E6" t="s">
        <v>318</v>
      </c>
      <c r="F6" t="s">
        <v>319</v>
      </c>
      <c r="G6" t="s">
        <v>320</v>
      </c>
      <c r="H6" t="s">
        <v>321</v>
      </c>
      <c r="I6" t="s">
        <v>322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workbookViewId="0"/>
  </sheetViews>
  <sheetFormatPr defaultRowHeight="15" x14ac:dyDescent="0.25"/>
  <cols>
    <col min="1" max="1" width="17.28515625" bestFit="1" customWidth="1"/>
    <col min="2" max="2" width="13.570312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20" bestFit="1" customWidth="1"/>
    <col min="8" max="8" width="17.85546875" bestFit="1" customWidth="1"/>
    <col min="9" max="9" width="8" bestFit="1" customWidth="1"/>
    <col min="10" max="10" width="26.42578125" bestFit="1" customWidth="1"/>
    <col min="11" max="11" width="11.42578125" bestFit="1" customWidth="1"/>
    <col min="12" max="12" width="30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323</v>
      </c>
      <c r="B1" t="s">
        <v>324</v>
      </c>
      <c r="C1" t="s">
        <v>190</v>
      </c>
      <c r="D1" t="s">
        <v>292</v>
      </c>
      <c r="E1" t="s">
        <v>325</v>
      </c>
      <c r="F1" t="s">
        <v>326</v>
      </c>
      <c r="G1" t="s">
        <v>327</v>
      </c>
      <c r="H1" t="s">
        <v>328</v>
      </c>
      <c r="I1" t="s">
        <v>191</v>
      </c>
      <c r="J1" t="s">
        <v>192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</row>
    <row r="2" spans="1:17" x14ac:dyDescent="0.25">
      <c r="A2" t="s">
        <v>329</v>
      </c>
      <c r="B2" t="s">
        <v>329</v>
      </c>
      <c r="C2">
        <v>12.11</v>
      </c>
      <c r="D2">
        <v>12.11</v>
      </c>
      <c r="E2" t="s">
        <v>330</v>
      </c>
      <c r="F2" s="1">
        <v>45880</v>
      </c>
      <c r="G2" t="s">
        <v>331</v>
      </c>
      <c r="H2" t="s">
        <v>331</v>
      </c>
      <c r="I2">
        <v>1.21</v>
      </c>
      <c r="J2">
        <v>1.21</v>
      </c>
      <c r="K2">
        <v>13.32</v>
      </c>
      <c r="L2">
        <v>13.32</v>
      </c>
      <c r="M2" t="s">
        <v>332</v>
      </c>
      <c r="N2" t="s">
        <v>333</v>
      </c>
      <c r="O2" t="s">
        <v>334</v>
      </c>
      <c r="P2" t="s">
        <v>335</v>
      </c>
      <c r="Q2" t="s">
        <v>336</v>
      </c>
    </row>
    <row r="3" spans="1:17" x14ac:dyDescent="0.25">
      <c r="A3" t="s">
        <v>337</v>
      </c>
      <c r="B3" t="s">
        <v>337</v>
      </c>
      <c r="C3">
        <v>12.12</v>
      </c>
      <c r="D3">
        <v>12.12</v>
      </c>
      <c r="E3" t="s">
        <v>338</v>
      </c>
      <c r="F3" s="1">
        <v>45881</v>
      </c>
      <c r="G3" t="s">
        <v>339</v>
      </c>
      <c r="H3" t="s">
        <v>339</v>
      </c>
      <c r="I3">
        <v>1.22</v>
      </c>
      <c r="J3">
        <v>1.22</v>
      </c>
      <c r="K3">
        <v>13.34</v>
      </c>
      <c r="L3">
        <v>13.34</v>
      </c>
      <c r="M3" t="s">
        <v>340</v>
      </c>
      <c r="N3" t="s">
        <v>341</v>
      </c>
      <c r="O3" t="s">
        <v>342</v>
      </c>
      <c r="P3" t="s">
        <v>343</v>
      </c>
      <c r="Q3" t="s">
        <v>344</v>
      </c>
    </row>
    <row r="4" spans="1:17" x14ac:dyDescent="0.25">
      <c r="A4" t="s">
        <v>345</v>
      </c>
      <c r="B4" t="s">
        <v>345</v>
      </c>
      <c r="C4">
        <v>12.13</v>
      </c>
      <c r="D4">
        <v>12.13</v>
      </c>
      <c r="E4" t="s">
        <v>346</v>
      </c>
      <c r="F4" s="1">
        <v>45882</v>
      </c>
      <c r="G4" t="s">
        <v>347</v>
      </c>
      <c r="H4" t="s">
        <v>347</v>
      </c>
      <c r="I4">
        <v>1.23</v>
      </c>
      <c r="J4">
        <v>1.23</v>
      </c>
      <c r="K4">
        <v>13.36</v>
      </c>
      <c r="L4">
        <v>13.36</v>
      </c>
      <c r="M4" t="s">
        <v>348</v>
      </c>
      <c r="N4" t="s">
        <v>349</v>
      </c>
      <c r="O4" t="s">
        <v>350</v>
      </c>
      <c r="P4" t="s">
        <v>351</v>
      </c>
      <c r="Q4" t="s">
        <v>352</v>
      </c>
    </row>
    <row r="5" spans="1:17" x14ac:dyDescent="0.25">
      <c r="A5" t="s">
        <v>353</v>
      </c>
      <c r="B5" t="s">
        <v>353</v>
      </c>
      <c r="C5">
        <v>12.14</v>
      </c>
      <c r="D5">
        <v>12.14</v>
      </c>
      <c r="E5" t="s">
        <v>354</v>
      </c>
      <c r="F5" s="1">
        <v>45883</v>
      </c>
      <c r="G5" t="s">
        <v>355</v>
      </c>
      <c r="H5" t="s">
        <v>355</v>
      </c>
      <c r="I5">
        <v>1.24</v>
      </c>
      <c r="J5">
        <v>1.24</v>
      </c>
      <c r="K5">
        <v>13.38</v>
      </c>
      <c r="L5">
        <v>13.38</v>
      </c>
      <c r="M5" t="s">
        <v>356</v>
      </c>
      <c r="N5" t="s">
        <v>357</v>
      </c>
      <c r="O5" t="s">
        <v>358</v>
      </c>
      <c r="P5" t="s">
        <v>359</v>
      </c>
      <c r="Q5" t="s">
        <v>360</v>
      </c>
    </row>
    <row r="6" spans="1:17" x14ac:dyDescent="0.25">
      <c r="A6" t="s">
        <v>361</v>
      </c>
      <c r="B6" t="s">
        <v>361</v>
      </c>
      <c r="C6">
        <v>12.15</v>
      </c>
      <c r="D6">
        <v>12.15</v>
      </c>
      <c r="E6" t="s">
        <v>362</v>
      </c>
      <c r="F6" s="1">
        <v>45884</v>
      </c>
      <c r="G6" t="s">
        <v>363</v>
      </c>
      <c r="H6" t="s">
        <v>363</v>
      </c>
      <c r="I6">
        <v>1.25</v>
      </c>
      <c r="J6">
        <v>1.25</v>
      </c>
      <c r="K6">
        <v>13.4</v>
      </c>
      <c r="L6">
        <v>13.4</v>
      </c>
      <c r="M6" t="s">
        <v>364</v>
      </c>
      <c r="N6" t="s">
        <v>365</v>
      </c>
      <c r="O6" t="s">
        <v>366</v>
      </c>
      <c r="P6" t="s">
        <v>367</v>
      </c>
      <c r="Q6" t="s">
        <v>368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6"/>
  <sheetViews>
    <sheetView workbookViewId="0"/>
  </sheetViews>
  <sheetFormatPr defaultRowHeight="15" x14ac:dyDescent="0.25"/>
  <cols>
    <col min="1" max="2" width="18.85546875" bestFit="1" customWidth="1"/>
    <col min="3" max="3" width="24.42578125" bestFit="1" customWidth="1"/>
    <col min="4" max="4" width="8.140625" bestFit="1" customWidth="1"/>
    <col min="5" max="5" width="26.5703125" bestFit="1" customWidth="1"/>
    <col min="6" max="6" width="10.42578125" bestFit="1" customWidth="1"/>
    <col min="7" max="7" width="12" bestFit="1" customWidth="1"/>
    <col min="8" max="8" width="14.28515625" bestFit="1" customWidth="1"/>
    <col min="9" max="9" width="10.5703125" bestFit="1" customWidth="1"/>
    <col min="10" max="10" width="15" bestFit="1" customWidth="1"/>
    <col min="11" max="11" width="13.85546875" bestFit="1" customWidth="1"/>
    <col min="12" max="12" width="13.42578125" bestFit="1" customWidth="1"/>
  </cols>
  <sheetData>
    <row r="1" spans="1:12" x14ac:dyDescent="0.25">
      <c r="A1" t="s">
        <v>323</v>
      </c>
      <c r="B1" t="s">
        <v>324</v>
      </c>
      <c r="C1" t="s">
        <v>369</v>
      </c>
      <c r="D1" t="s">
        <v>190</v>
      </c>
      <c r="E1" t="s">
        <v>292</v>
      </c>
      <c r="F1" t="s">
        <v>325</v>
      </c>
      <c r="G1" t="s">
        <v>326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25">
      <c r="A2" t="s">
        <v>370</v>
      </c>
      <c r="B2" t="s">
        <v>370</v>
      </c>
      <c r="C2" t="s">
        <v>371</v>
      </c>
      <c r="D2">
        <v>13.11</v>
      </c>
      <c r="E2">
        <v>13.11</v>
      </c>
      <c r="F2" t="s">
        <v>372</v>
      </c>
      <c r="G2" s="1">
        <v>45885</v>
      </c>
      <c r="H2" t="s">
        <v>373</v>
      </c>
      <c r="I2" t="s">
        <v>374</v>
      </c>
      <c r="J2" t="s">
        <v>375</v>
      </c>
      <c r="K2" t="s">
        <v>376</v>
      </c>
      <c r="L2" t="s">
        <v>377</v>
      </c>
    </row>
    <row r="3" spans="1:12" x14ac:dyDescent="0.25">
      <c r="A3" t="s">
        <v>378</v>
      </c>
      <c r="B3" t="s">
        <v>378</v>
      </c>
      <c r="C3" t="s">
        <v>379</v>
      </c>
      <c r="D3">
        <v>13.12</v>
      </c>
      <c r="E3">
        <v>13.12</v>
      </c>
      <c r="F3" t="s">
        <v>380</v>
      </c>
      <c r="G3" s="1">
        <v>45886</v>
      </c>
      <c r="H3" t="s">
        <v>381</v>
      </c>
      <c r="I3" t="s">
        <v>382</v>
      </c>
      <c r="J3" t="s">
        <v>383</v>
      </c>
      <c r="K3" t="s">
        <v>384</v>
      </c>
      <c r="L3" t="s">
        <v>385</v>
      </c>
    </row>
    <row r="4" spans="1:12" x14ac:dyDescent="0.25">
      <c r="A4" t="s">
        <v>386</v>
      </c>
      <c r="B4" t="s">
        <v>386</v>
      </c>
      <c r="C4" t="s">
        <v>387</v>
      </c>
      <c r="D4">
        <v>13.13</v>
      </c>
      <c r="E4">
        <v>13.13</v>
      </c>
      <c r="F4" t="s">
        <v>388</v>
      </c>
      <c r="G4" s="1">
        <v>45887</v>
      </c>
      <c r="H4" t="s">
        <v>389</v>
      </c>
      <c r="I4" t="s">
        <v>390</v>
      </c>
      <c r="J4" t="s">
        <v>391</v>
      </c>
      <c r="K4" t="s">
        <v>392</v>
      </c>
      <c r="L4" t="s">
        <v>393</v>
      </c>
    </row>
    <row r="5" spans="1:12" x14ac:dyDescent="0.25">
      <c r="A5" t="s">
        <v>394</v>
      </c>
      <c r="B5" t="s">
        <v>394</v>
      </c>
      <c r="C5" t="s">
        <v>395</v>
      </c>
      <c r="D5">
        <v>13.14</v>
      </c>
      <c r="E5">
        <v>13.14</v>
      </c>
      <c r="F5" t="s">
        <v>396</v>
      </c>
      <c r="G5" s="1">
        <v>45888</v>
      </c>
      <c r="H5" t="s">
        <v>397</v>
      </c>
      <c r="I5" t="s">
        <v>398</v>
      </c>
      <c r="J5" t="s">
        <v>399</v>
      </c>
      <c r="K5" t="s">
        <v>400</v>
      </c>
      <c r="L5" t="s">
        <v>401</v>
      </c>
    </row>
    <row r="6" spans="1:12" x14ac:dyDescent="0.25">
      <c r="A6" t="s">
        <v>402</v>
      </c>
      <c r="B6" t="s">
        <v>402</v>
      </c>
      <c r="C6" t="s">
        <v>403</v>
      </c>
      <c r="D6">
        <v>13.15</v>
      </c>
      <c r="E6">
        <v>13.15</v>
      </c>
      <c r="F6" t="s">
        <v>404</v>
      </c>
      <c r="G6" s="1">
        <v>45889</v>
      </c>
      <c r="H6" t="s">
        <v>405</v>
      </c>
      <c r="I6" t="s">
        <v>406</v>
      </c>
      <c r="J6" t="s">
        <v>407</v>
      </c>
      <c r="K6" t="s">
        <v>408</v>
      </c>
      <c r="L6" t="s">
        <v>409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17.28515625" bestFit="1" customWidth="1"/>
    <col min="2" max="2" width="18.8554687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14.28515625" bestFit="1" customWidth="1"/>
    <col min="8" max="8" width="10.5703125" bestFit="1" customWidth="1"/>
    <col min="9" max="9" width="15" bestFit="1" customWidth="1"/>
    <col min="10" max="10" width="13.85546875" bestFit="1" customWidth="1"/>
    <col min="11" max="11" width="14.28515625" bestFit="1" customWidth="1"/>
  </cols>
  <sheetData>
    <row r="1" spans="1:11" x14ac:dyDescent="0.25">
      <c r="A1" t="s">
        <v>323</v>
      </c>
      <c r="B1" t="s">
        <v>324</v>
      </c>
      <c r="C1" t="s">
        <v>190</v>
      </c>
      <c r="D1" t="s">
        <v>292</v>
      </c>
      <c r="E1" t="s">
        <v>325</v>
      </c>
      <c r="F1" t="s">
        <v>326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410</v>
      </c>
      <c r="B2" t="s">
        <v>402</v>
      </c>
      <c r="C2">
        <v>14.11</v>
      </c>
      <c r="D2">
        <v>14.11</v>
      </c>
      <c r="E2" t="s">
        <v>411</v>
      </c>
      <c r="F2" s="1">
        <v>45890</v>
      </c>
      <c r="G2" t="s">
        <v>412</v>
      </c>
      <c r="H2" t="s">
        <v>413</v>
      </c>
      <c r="I2" t="s">
        <v>414</v>
      </c>
      <c r="J2" t="s">
        <v>415</v>
      </c>
      <c r="K2" t="s">
        <v>416</v>
      </c>
    </row>
    <row r="3" spans="1:11" x14ac:dyDescent="0.25">
      <c r="A3" t="s">
        <v>417</v>
      </c>
      <c r="B3" t="s">
        <v>418</v>
      </c>
      <c r="C3">
        <v>14.12</v>
      </c>
      <c r="D3">
        <v>14.12</v>
      </c>
      <c r="E3" t="s">
        <v>419</v>
      </c>
      <c r="F3" s="1">
        <v>45891</v>
      </c>
      <c r="G3" t="s">
        <v>420</v>
      </c>
      <c r="H3" t="s">
        <v>421</v>
      </c>
      <c r="I3" t="s">
        <v>422</v>
      </c>
      <c r="J3" t="s">
        <v>423</v>
      </c>
      <c r="K3" t="s">
        <v>424</v>
      </c>
    </row>
    <row r="4" spans="1:11" x14ac:dyDescent="0.25">
      <c r="A4" t="s">
        <v>425</v>
      </c>
      <c r="B4" t="s">
        <v>426</v>
      </c>
      <c r="C4">
        <v>14.13</v>
      </c>
      <c r="D4">
        <v>14.13</v>
      </c>
      <c r="E4" t="s">
        <v>427</v>
      </c>
      <c r="F4" s="1">
        <v>45892</v>
      </c>
      <c r="G4" t="s">
        <v>428</v>
      </c>
      <c r="H4" t="s">
        <v>429</v>
      </c>
      <c r="I4" t="s">
        <v>430</v>
      </c>
      <c r="J4" t="s">
        <v>431</v>
      </c>
      <c r="K4" t="s">
        <v>432</v>
      </c>
    </row>
    <row r="5" spans="1:11" x14ac:dyDescent="0.25">
      <c r="A5" t="s">
        <v>433</v>
      </c>
      <c r="B5" t="s">
        <v>434</v>
      </c>
      <c r="C5">
        <v>14.14</v>
      </c>
      <c r="D5">
        <v>14.14</v>
      </c>
      <c r="E5" t="s">
        <v>435</v>
      </c>
      <c r="F5" s="1">
        <v>45893</v>
      </c>
      <c r="G5" t="s">
        <v>436</v>
      </c>
      <c r="H5" t="s">
        <v>437</v>
      </c>
      <c r="I5" t="s">
        <v>438</v>
      </c>
      <c r="J5" t="s">
        <v>439</v>
      </c>
      <c r="K5" t="s">
        <v>440</v>
      </c>
    </row>
    <row r="6" spans="1:11" x14ac:dyDescent="0.25">
      <c r="A6" t="s">
        <v>441</v>
      </c>
      <c r="B6" t="s">
        <v>442</v>
      </c>
      <c r="C6">
        <v>14.15</v>
      </c>
      <c r="D6">
        <v>14.15</v>
      </c>
      <c r="E6" t="s">
        <v>443</v>
      </c>
      <c r="F6" s="1">
        <v>45894</v>
      </c>
      <c r="G6" t="s">
        <v>444</v>
      </c>
      <c r="H6" t="s">
        <v>445</v>
      </c>
      <c r="I6" t="s">
        <v>446</v>
      </c>
      <c r="J6" t="s">
        <v>447</v>
      </c>
      <c r="K6" t="s">
        <v>448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449</v>
      </c>
      <c r="B1" t="s">
        <v>450</v>
      </c>
      <c r="C1" t="s">
        <v>451</v>
      </c>
      <c r="D1" t="s">
        <v>452</v>
      </c>
      <c r="E1" t="s">
        <v>453</v>
      </c>
      <c r="F1" t="s">
        <v>454</v>
      </c>
      <c r="G1" t="s">
        <v>455</v>
      </c>
    </row>
    <row r="2" spans="1:7" x14ac:dyDescent="0.25">
      <c r="A2" t="s">
        <v>456</v>
      </c>
      <c r="B2" s="1">
        <v>45895</v>
      </c>
      <c r="C2" t="s">
        <v>457</v>
      </c>
      <c r="D2" t="s">
        <v>458</v>
      </c>
      <c r="E2" t="s">
        <v>459</v>
      </c>
      <c r="F2" t="s">
        <v>460</v>
      </c>
      <c r="G2" t="s">
        <v>461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</row>
    <row r="2" spans="1:16" x14ac:dyDescent="0.25">
      <c r="A2" t="s">
        <v>462</v>
      </c>
      <c r="B2" t="s">
        <v>463</v>
      </c>
      <c r="C2" t="s">
        <v>464</v>
      </c>
      <c r="D2" t="s">
        <v>465</v>
      </c>
      <c r="E2" t="s">
        <v>466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37</v>
      </c>
      <c r="O2" t="s">
        <v>37</v>
      </c>
      <c r="P2" t="s">
        <v>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T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3.140625" bestFit="1" customWidth="1"/>
    <col min="4" max="4" width="8.7109375" bestFit="1" customWidth="1"/>
    <col min="5" max="5" width="19.28515625" bestFit="1" customWidth="1"/>
    <col min="6" max="7" width="6" bestFit="1" customWidth="1"/>
    <col min="8" max="8" width="4.85546875" bestFit="1" customWidth="1"/>
    <col min="9" max="9" width="6" bestFit="1" customWidth="1"/>
    <col min="10" max="10" width="11.140625" bestFit="1" customWidth="1"/>
    <col min="11" max="11" width="11.42578125" bestFit="1" customWidth="1"/>
    <col min="12" max="12" width="8" bestFit="1" customWidth="1"/>
    <col min="13" max="13" width="23.42578125" bestFit="1" customWidth="1"/>
    <col min="14" max="14" width="11" bestFit="1" customWidth="1"/>
    <col min="15" max="15" width="26.5703125" bestFit="1" customWidth="1"/>
    <col min="16" max="16" width="20.28515625" bestFit="1" customWidth="1"/>
    <col min="17" max="17" width="43.28515625" bestFit="1" customWidth="1"/>
    <col min="18" max="18" width="30.85546875" bestFit="1" customWidth="1"/>
    <col min="19" max="19" width="46.42578125" bestFit="1" customWidth="1"/>
    <col min="20" max="20" width="17.85546875" bestFit="1" customWidth="1"/>
    <col min="21" max="21" width="17.7109375" bestFit="1" customWidth="1"/>
    <col min="22" max="22" width="17.28515625" bestFit="1" customWidth="1"/>
    <col min="23" max="23" width="17.5703125" bestFit="1" customWidth="1"/>
    <col min="24" max="24" width="16.5703125" bestFit="1" customWidth="1"/>
    <col min="25" max="25" width="14" bestFit="1" customWidth="1"/>
    <col min="26" max="26" width="17.85546875" bestFit="1" customWidth="1"/>
    <col min="27" max="27" width="16.85546875" bestFit="1" customWidth="1"/>
    <col min="28" max="28" width="10.5703125" bestFit="1" customWidth="1"/>
    <col min="29" max="29" width="29" bestFit="1" customWidth="1"/>
    <col min="30" max="30" width="6" bestFit="1" customWidth="1"/>
    <col min="31" max="31" width="8.7109375" bestFit="1" customWidth="1"/>
    <col min="32" max="33" width="6" bestFit="1" customWidth="1"/>
    <col min="34" max="34" width="18.140625" bestFit="1" customWidth="1"/>
    <col min="35" max="35" width="8.85546875" bestFit="1" customWidth="1"/>
    <col min="36" max="36" width="24.28515625" bestFit="1" customWidth="1"/>
    <col min="37" max="37" width="20" bestFit="1" customWidth="1"/>
    <col min="38" max="38" width="18" bestFit="1" customWidth="1"/>
    <col min="39" max="39" width="23.140625" bestFit="1" customWidth="1"/>
    <col min="40" max="40" width="21" bestFit="1" customWidth="1"/>
    <col min="41" max="42" width="20.42578125" bestFit="1" customWidth="1"/>
    <col min="43" max="43" width="19.42578125" bestFit="1" customWidth="1"/>
    <col min="44" max="45" width="15.5703125" bestFit="1" customWidth="1"/>
    <col min="46" max="46" width="14.5703125" bestFit="1" customWidth="1"/>
  </cols>
  <sheetData>
    <row r="1" spans="1:46" x14ac:dyDescent="0.25">
      <c r="A1" t="s">
        <v>61</v>
      </c>
      <c r="B1" t="s">
        <v>62</v>
      </c>
      <c r="C1" t="s">
        <v>68</v>
      </c>
      <c r="D1" t="s">
        <v>467</v>
      </c>
      <c r="E1" t="s">
        <v>79</v>
      </c>
      <c r="F1" t="s">
        <v>7</v>
      </c>
      <c r="G1" t="s">
        <v>8</v>
      </c>
      <c r="H1" t="s">
        <v>9</v>
      </c>
      <c r="I1" t="s">
        <v>10</v>
      </c>
      <c r="J1" t="s">
        <v>275</v>
      </c>
      <c r="K1" t="s">
        <v>88</v>
      </c>
      <c r="L1" t="s">
        <v>191</v>
      </c>
      <c r="M1" t="s">
        <v>468</v>
      </c>
      <c r="N1" t="s">
        <v>193</v>
      </c>
      <c r="O1" t="s">
        <v>469</v>
      </c>
      <c r="P1" t="s">
        <v>470</v>
      </c>
      <c r="Q1" t="s">
        <v>471</v>
      </c>
      <c r="R1" t="s">
        <v>472</v>
      </c>
      <c r="S1" t="s">
        <v>473</v>
      </c>
      <c r="T1" t="s">
        <v>474</v>
      </c>
      <c r="U1" t="s">
        <v>475</v>
      </c>
      <c r="V1" t="s">
        <v>476</v>
      </c>
      <c r="W1" t="s">
        <v>477</v>
      </c>
      <c r="X1" t="s">
        <v>478</v>
      </c>
      <c r="Y1" t="s">
        <v>479</v>
      </c>
      <c r="Z1" t="s">
        <v>480</v>
      </c>
      <c r="AA1" t="s">
        <v>481</v>
      </c>
      <c r="AB1" t="s">
        <v>482</v>
      </c>
      <c r="AC1" t="s">
        <v>483</v>
      </c>
      <c r="AD1" t="s">
        <v>11</v>
      </c>
      <c r="AE1" t="s">
        <v>12</v>
      </c>
      <c r="AF1" t="s">
        <v>484</v>
      </c>
      <c r="AG1" t="s">
        <v>485</v>
      </c>
      <c r="AH1" t="s">
        <v>13</v>
      </c>
      <c r="AI1" t="s">
        <v>486</v>
      </c>
      <c r="AJ1" t="s">
        <v>487</v>
      </c>
      <c r="AK1" t="s">
        <v>488</v>
      </c>
      <c r="AL1" t="s">
        <v>489</v>
      </c>
      <c r="AM1" t="s">
        <v>490</v>
      </c>
      <c r="AN1" t="s">
        <v>491</v>
      </c>
      <c r="AO1" t="s">
        <v>492</v>
      </c>
      <c r="AP1" t="s">
        <v>493</v>
      </c>
      <c r="AQ1" t="s">
        <v>84</v>
      </c>
      <c r="AR1" t="s">
        <v>494</v>
      </c>
      <c r="AS1" t="s">
        <v>495</v>
      </c>
      <c r="AT1" t="s">
        <v>87</v>
      </c>
    </row>
    <row r="2" spans="1:46" x14ac:dyDescent="0.25">
      <c r="A2">
        <v>5.4930000000000003</v>
      </c>
      <c r="B2">
        <v>5.4930000000000003</v>
      </c>
      <c r="C2">
        <v>550.01</v>
      </c>
      <c r="D2">
        <v>27.52</v>
      </c>
      <c r="E2">
        <v>522.49</v>
      </c>
      <c r="F2">
        <v>37.130000000000003</v>
      </c>
      <c r="G2">
        <v>37.130000000000003</v>
      </c>
      <c r="H2">
        <v>0</v>
      </c>
      <c r="I2">
        <v>29.55</v>
      </c>
      <c r="J2">
        <v>0</v>
      </c>
      <c r="K2">
        <v>626.29999999999995</v>
      </c>
      <c r="L2">
        <v>9.36</v>
      </c>
      <c r="M2">
        <v>635.66</v>
      </c>
      <c r="N2">
        <v>29.14</v>
      </c>
      <c r="O2">
        <v>606.52</v>
      </c>
      <c r="P2">
        <v>7.91</v>
      </c>
      <c r="Q2">
        <v>614.42999999999995</v>
      </c>
      <c r="R2">
        <v>0</v>
      </c>
      <c r="S2">
        <v>615.85</v>
      </c>
      <c r="T2">
        <v>0.48</v>
      </c>
      <c r="U2">
        <v>0.48</v>
      </c>
      <c r="V2">
        <v>0</v>
      </c>
      <c r="W2">
        <v>0.46</v>
      </c>
      <c r="X2">
        <v>1.42</v>
      </c>
      <c r="Y2">
        <v>1</v>
      </c>
      <c r="Z2" t="s">
        <v>496</v>
      </c>
      <c r="AA2">
        <v>0.15</v>
      </c>
      <c r="AB2">
        <v>616</v>
      </c>
      <c r="AC2">
        <v>616</v>
      </c>
      <c r="AD2">
        <v>55.65</v>
      </c>
      <c r="AE2">
        <v>60.65</v>
      </c>
      <c r="AF2">
        <v>65.650000000000006</v>
      </c>
      <c r="AG2">
        <v>70.650000000000006</v>
      </c>
      <c r="AH2">
        <v>136.30000000000001</v>
      </c>
      <c r="AI2">
        <v>252.6</v>
      </c>
      <c r="AJ2">
        <v>363.4</v>
      </c>
      <c r="AK2">
        <v>9.36</v>
      </c>
      <c r="AL2">
        <v>0</v>
      </c>
      <c r="AM2">
        <v>29.14</v>
      </c>
      <c r="AN2">
        <v>0</v>
      </c>
      <c r="AO2">
        <v>522.49</v>
      </c>
      <c r="AP2">
        <v>7.91</v>
      </c>
      <c r="AQ2">
        <v>530.4</v>
      </c>
      <c r="AR2">
        <v>0</v>
      </c>
      <c r="AS2">
        <v>0</v>
      </c>
      <c r="AT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497</v>
      </c>
      <c r="B1" t="s">
        <v>498</v>
      </c>
      <c r="C1" t="s">
        <v>94</v>
      </c>
    </row>
    <row r="2" spans="1:3" x14ac:dyDescent="0.25">
      <c r="A2" t="s">
        <v>499</v>
      </c>
      <c r="B2" t="s">
        <v>500</v>
      </c>
      <c r="C2" t="s">
        <v>501</v>
      </c>
    </row>
    <row r="3" spans="1:3" x14ac:dyDescent="0.25">
      <c r="A3" t="s">
        <v>502</v>
      </c>
      <c r="B3" t="s">
        <v>503</v>
      </c>
      <c r="C3" t="s">
        <v>504</v>
      </c>
    </row>
    <row r="4" spans="1:3" x14ac:dyDescent="0.25">
      <c r="A4" t="s">
        <v>505</v>
      </c>
      <c r="B4" t="s">
        <v>506</v>
      </c>
      <c r="C4" t="s">
        <v>507</v>
      </c>
    </row>
    <row r="5" spans="1:3" x14ac:dyDescent="0.25">
      <c r="A5" t="s">
        <v>508</v>
      </c>
      <c r="B5" t="s">
        <v>509</v>
      </c>
      <c r="C5" t="s">
        <v>510</v>
      </c>
    </row>
    <row r="6" spans="1:3" x14ac:dyDescent="0.25">
      <c r="A6" t="s">
        <v>511</v>
      </c>
      <c r="B6" t="s">
        <v>512</v>
      </c>
      <c r="C6" t="s">
        <v>513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D2"/>
  <sheetViews>
    <sheetView workbookViewId="0">
      <selection activeCell="R17" sqref="R17"/>
    </sheetView>
  </sheetViews>
  <sheetFormatPr defaultRowHeight="15" x14ac:dyDescent="0.25"/>
  <cols>
    <col min="1" max="1" width="13.28515625" bestFit="1" customWidth="1"/>
    <col min="2" max="2" width="8.7109375" bestFit="1" customWidth="1"/>
    <col min="3" max="3" width="14" bestFit="1" customWidth="1"/>
    <col min="4" max="4" width="12.7109375" bestFit="1" customWidth="1"/>
  </cols>
  <sheetData>
    <row r="1" spans="1:4" x14ac:dyDescent="0.25">
      <c r="A1" t="s">
        <v>90</v>
      </c>
      <c r="B1" t="s">
        <v>91</v>
      </c>
      <c r="C1" t="s">
        <v>92</v>
      </c>
      <c r="D1" t="s">
        <v>93</v>
      </c>
    </row>
    <row r="2" spans="1:4" x14ac:dyDescent="0.25">
      <c r="A2" s="2" t="s">
        <v>120</v>
      </c>
      <c r="B2" s="2" t="s">
        <v>121</v>
      </c>
      <c r="C2" s="2" t="s">
        <v>122</v>
      </c>
      <c r="D2" s="2" t="s">
        <v>123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Tables</vt:lpstr>
      <vt:lpstr>GeneralInformation</vt:lpstr>
      <vt:lpstr>Items</vt:lpstr>
      <vt:lpstr>ChargesAndDeductions</vt:lpstr>
      <vt:lpstr>OtherCharges</vt:lpstr>
      <vt:lpstr>CGST</vt:lpstr>
      <vt:lpstr>SGST</vt:lpstr>
      <vt:lpstr>IGST</vt:lpstr>
      <vt:lpstr>CESS</vt:lpstr>
      <vt:lpstr>Cash</vt:lpstr>
      <vt:lpstr>Cheques</vt:lpstr>
      <vt:lpstr>PostDatedCheques</vt:lpstr>
      <vt:lpstr>PDC</vt:lpstr>
      <vt:lpstr>OtherInfo</vt:lpstr>
      <vt:lpstr>AdditionalInformation</vt:lpstr>
      <vt:lpstr>Summary</vt:lpstr>
      <vt:lpstr>TermsAndConditions</vt:lpstr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2025-07-29T05:51:14Z</dcterms:created>
  <dcterms:modified xsi:type="dcterms:W3CDTF">2025-08-04T09:16:28Z</dcterms:modified>
</cp:coreProperties>
</file>
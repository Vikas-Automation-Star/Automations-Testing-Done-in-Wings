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1C4DF9E0-3D76-4480-AE4B-21DAEA186D88}" xr6:coauthVersionLast="36" xr6:coauthVersionMax="36" xr10:uidLastSave="{00000000-0000-0000-0000-000000000000}"/>
  <bookViews>
    <workbookView xWindow="32760" yWindow="32760" windowWidth="32760" windowHeight="32760" tabRatio="933"/>
  </bookViews>
  <sheets>
    <sheet name="Tables" sheetId="1" r:id="rId1"/>
    <sheet name="GeneralInformation" sheetId="2" r:id="rId2"/>
    <sheet name="Items" sheetId="3" r:id="rId3"/>
    <sheet name="ChargesAndDeductions" sheetId="4" r:id="rId4"/>
    <sheet name="CGST" sheetId="5" r:id="rId5"/>
    <sheet name="SGST" sheetId="6" r:id="rId6"/>
    <sheet name="IGST" sheetId="7" r:id="rId7"/>
    <sheet name="CESS" sheetId="8" r:id="rId8"/>
    <sheet name="OtherInfo" sheetId="9" r:id="rId9"/>
    <sheet name="AdditionalInformation" sheetId="10" r:id="rId10"/>
    <sheet name="Summary" sheetId="11" r:id="rId11"/>
    <sheet name="BillingAddress" sheetId="12" r:id="rId12"/>
    <sheet name="ShippingAddress" sheetId="13" r:id="rId13"/>
    <sheet name="TermsAndConditions" sheetId="14" r:id="rId14"/>
  </sheets>
  <calcPr calcId="191029"/>
</workbook>
</file>

<file path=xl/calcChain.xml><?xml version="1.0" encoding="utf-8"?>
<calcChain xmlns="http://schemas.openxmlformats.org/spreadsheetml/2006/main">
  <c r="AO18" i="3" l="1"/>
  <c r="AN18" i="3"/>
  <c r="AH18" i="3"/>
  <c r="AC18" i="3"/>
  <c r="Z18" i="3"/>
  <c r="W18" i="3"/>
  <c r="T18" i="3"/>
  <c r="AC14" i="3"/>
  <c r="AE14" i="3"/>
  <c r="AH14" i="3"/>
  <c r="AC13" i="3"/>
  <c r="AE13" i="3"/>
  <c r="AH13" i="3"/>
  <c r="AC12" i="3"/>
  <c r="AE12" i="3"/>
  <c r="AH12" i="3"/>
  <c r="AC11" i="3"/>
  <c r="Z12" i="3"/>
  <c r="Z11" i="3"/>
  <c r="AO10" i="3"/>
  <c r="AN10" i="3"/>
  <c r="AH10" i="3"/>
  <c r="AE10" i="3"/>
  <c r="AC10" i="3"/>
  <c r="Z14" i="3"/>
  <c r="Z13" i="3"/>
  <c r="Z10" i="3"/>
  <c r="Z16" i="3"/>
  <c r="W14" i="3"/>
  <c r="W13" i="3"/>
  <c r="W12" i="3"/>
  <c r="W11" i="3"/>
  <c r="W10" i="3"/>
  <c r="T16" i="3"/>
  <c r="T14" i="3"/>
  <c r="T13" i="3"/>
  <c r="T12" i="3"/>
  <c r="T11" i="3"/>
  <c r="T10" i="3"/>
  <c r="AP8" i="3"/>
  <c r="AO8" i="3"/>
  <c r="AN8" i="3"/>
  <c r="AM8" i="3"/>
  <c r="AL8" i="3"/>
  <c r="AK8" i="3"/>
  <c r="AJ8" i="3"/>
  <c r="AH8" i="3"/>
  <c r="AC8" i="3"/>
  <c r="Z8" i="3"/>
  <c r="W8" i="3"/>
  <c r="T8" i="3"/>
  <c r="R8" i="3"/>
  <c r="O8" i="3"/>
  <c r="N8" i="3"/>
  <c r="AN14" i="3"/>
  <c r="AO14" i="3"/>
  <c r="AN13" i="3"/>
  <c r="AO13" i="3"/>
  <c r="AC16" i="3"/>
  <c r="AE11" i="3"/>
  <c r="AH11" i="3"/>
  <c r="AN11" i="3"/>
  <c r="AO11" i="3"/>
  <c r="AN12" i="3"/>
  <c r="AO12" i="3"/>
  <c r="W16" i="3"/>
  <c r="AE16" i="3"/>
  <c r="AH16" i="3"/>
  <c r="AO16" i="3"/>
  <c r="AN16" i="3"/>
</calcChain>
</file>

<file path=xl/sharedStrings.xml><?xml version="1.0" encoding="utf-8"?>
<sst xmlns="http://schemas.openxmlformats.org/spreadsheetml/2006/main" count="667" uniqueCount="328">
  <si>
    <t>TableNames</t>
  </si>
  <si>
    <t>SheetNames</t>
  </si>
  <si>
    <t>VirtualNames</t>
  </si>
  <si>
    <t>GeneralInformation</t>
  </si>
  <si>
    <t>Items</t>
  </si>
  <si>
    <t>ChargesAndDeductions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</si>
  <si>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</si>
  <si>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</si>
  <si>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</si>
  <si>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</si>
  <si>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</si>
  <si>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</si>
  <si>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</si>
  <si>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</si>
  <si>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</si>
  <si>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</si>
  <si>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VoucherType</t>
  </si>
  <si>
    <t>Date</t>
  </si>
  <si>
    <t>Branch</t>
  </si>
  <si>
    <t>TransactionCurrency</t>
  </si>
  <si>
    <t>ExchangeRate</t>
  </si>
  <si>
    <t>RegistrationType</t>
  </si>
  <si>
    <t>StateCode</t>
  </si>
  <si>
    <t>PartyAccountCode</t>
  </si>
  <si>
    <t>PartyAccount</t>
  </si>
  <si>
    <t>PlaceOfSupply</t>
  </si>
  <si>
    <t>GSTTransactionType</t>
  </si>
  <si>
    <t>CreditPeriod</t>
  </si>
  <si>
    <t>DueDate</t>
  </si>
  <si>
    <t>ChargesAndDeduction</t>
  </si>
  <si>
    <t>PriceList</t>
  </si>
  <si>
    <t>Executive</t>
  </si>
  <si>
    <t>ShippingAddressisDifferentfromBillingAddress</t>
  </si>
  <si>
    <t>Remarks</t>
  </si>
  <si>
    <t/>
  </si>
  <si>
    <t>AT_SQAE</t>
  </si>
  <si>
    <t>AT_Branch 1_Reg</t>
  </si>
  <si>
    <t>1</t>
  </si>
  <si>
    <t>INR</t>
  </si>
  <si>
    <t>0</t>
  </si>
  <si>
    <t xml:space="preserve">36              </t>
  </si>
  <si>
    <t>At_Cus_Reg_Intra</t>
  </si>
  <si>
    <t>Intra State</t>
  </si>
  <si>
    <t>Intra State Sales to Registered Dealers</t>
  </si>
  <si>
    <t>AT_Exclusive Sales Price List 1</t>
  </si>
  <si>
    <t>AT_Executive 2</t>
  </si>
  <si>
    <t>PVREM1</t>
  </si>
  <si>
    <t>TowardsVNo</t>
  </si>
  <si>
    <t>TowardsVNoDate</t>
  </si>
  <si>
    <t>ProductCode</t>
  </si>
  <si>
    <t>Product</t>
  </si>
  <si>
    <t>Description</t>
  </si>
  <si>
    <t>HSNCode</t>
  </si>
  <si>
    <t>GoodsOrServices</t>
  </si>
  <si>
    <t>SKU</t>
  </si>
  <si>
    <t>UOM</t>
  </si>
  <si>
    <t>ConversionFactor</t>
  </si>
  <si>
    <t>PendingQuantity</t>
  </si>
  <si>
    <t>PendingQuantityInSKU</t>
  </si>
  <si>
    <t>Quantity</t>
  </si>
  <si>
    <t>QuantityInSKU</t>
  </si>
  <si>
    <t>DeliveryDate</t>
  </si>
  <si>
    <t>MRP</t>
  </si>
  <si>
    <t>MRPAmount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</si>
  <si>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</si>
  <si>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</si>
  <si>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</si>
  <si>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</si>
  <si>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</si>
  <si>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</si>
  <si>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</si>
  <si>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</si>
  <si>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</si>
  <si>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</si>
  <si>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</si>
  <si>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</si>
  <si>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</si>
  <si>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</si>
  <si>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</si>
  <si>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</si>
  <si>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</si>
  <si>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</si>
  <si>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</si>
  <si>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</si>
  <si>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</si>
  <si>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</si>
  <si>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</si>
  <si>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</si>
  <si>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</si>
  <si>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</si>
  <si>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</si>
  <si>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</si>
  <si>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</si>
  <si>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</si>
  <si>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</si>
  <si>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</si>
  <si>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</si>
  <si>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</si>
  <si>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</si>
  <si>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</si>
  <si>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</si>
  <si>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</si>
  <si>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</si>
  <si>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</si>
  <si>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</si>
  <si>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</si>
  <si>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</si>
  <si>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</si>
  <si>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</si>
  <si>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</si>
  <si>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</si>
  <si>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</si>
  <si>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</si>
  <si>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</si>
  <si>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</si>
  <si>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</si>
  <si>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</si>
  <si>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</si>
  <si>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</si>
  <si>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</si>
  <si>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</si>
  <si>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</si>
  <si>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</si>
  <si>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</si>
  <si>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</si>
  <si>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P2</t>
  </si>
  <si>
    <t>AT_Product 2</t>
  </si>
  <si>
    <t xml:space="preserve">7777            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</si>
  <si>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</si>
  <si>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</si>
  <si>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</si>
  <si>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</si>
  <si>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</si>
  <si>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</si>
  <si>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</si>
  <si>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</si>
  <si>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</si>
  <si>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</si>
  <si>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</si>
  <si>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</si>
  <si>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</si>
  <si>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</si>
  <si>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1254</t>
  </si>
  <si>
    <t>AT_Product 5</t>
  </si>
  <si>
    <t xml:space="preserve">1111            </t>
  </si>
  <si>
    <t>S</t>
  </si>
  <si>
    <t>% on Gross - Voucher Disc - Party Disc</t>
  </si>
  <si>
    <t>% on Gross-Disc1-V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</si>
  <si>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</si>
  <si>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</si>
  <si>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</si>
  <si>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</si>
  <si>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</si>
  <si>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</si>
  <si>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</si>
  <si>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</si>
  <si>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</si>
  <si>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</si>
  <si>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</si>
  <si>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</si>
  <si>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PSN3</t>
  </si>
  <si>
    <t>AT_Product With SN 3</t>
  </si>
  <si>
    <t xml:space="preserve">5689            </t>
  </si>
  <si>
    <t>Per Quantity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</si>
  <si>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</si>
  <si>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</si>
  <si>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</si>
  <si>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</si>
  <si>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</si>
  <si>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</si>
  <si>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</si>
  <si>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</si>
  <si>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</si>
  <si>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</si>
  <si>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</si>
  <si>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</si>
  <si>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MBP4</t>
  </si>
  <si>
    <t>AT_Multi batch product 4</t>
  </si>
  <si>
    <t xml:space="preserve">3456            </t>
  </si>
  <si>
    <t>Value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</si>
  <si>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</si>
  <si>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</si>
  <si>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</si>
  <si>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</si>
  <si>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</si>
  <si>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</si>
  <si>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</si>
  <si>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</si>
  <si>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</si>
  <si>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</si>
  <si>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</si>
  <si>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</si>
  <si>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</si>
  <si>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</si>
  <si>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</si>
  <si>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</si>
  <si>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</si>
  <si>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</si>
  <si>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</si>
  <si>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</si>
  <si>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</si>
  <si>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</si>
  <si>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</si>
  <si>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</si>
  <si>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</si>
  <si>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</si>
  <si>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</si>
  <si>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</si>
  <si>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</si>
  <si>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</si>
  <si>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</si>
  <si>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</si>
  <si>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</si>
  <si>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</si>
  <si>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</si>
  <si>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</si>
  <si>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</si>
  <si>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</si>
  <si>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</si>
  <si>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</si>
  <si>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</si>
  <si>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</si>
  <si>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</si>
  <si>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</si>
  <si>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</si>
  <si>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</si>
  <si>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</si>
  <si>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</si>
  <si>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</si>
  <si>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</si>
  <si>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</si>
  <si>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</si>
  <si>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</si>
  <si>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</si>
  <si>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</si>
  <si>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</si>
  <si>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</si>
  <si>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</si>
  <si>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</si>
  <si>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</si>
  <si>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</si>
  <si>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</si>
  <si>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</si>
  <si>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</si>
  <si>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</si>
  <si>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</si>
  <si>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</si>
  <si>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</si>
  <si>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</si>
  <si>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</si>
  <si>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</si>
  <si>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</si>
  <si>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</si>
  <si>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</si>
  <si>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</si>
  <si>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</si>
  <si>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</si>
  <si>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</si>
  <si>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Output Tax Account</t>
  </si>
  <si>
    <t>SGST Output Tax Account</t>
  </si>
  <si>
    <t>GST Cess Output Tax Account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</si>
  <si>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</si>
  <si>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</si>
  <si>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</si>
  <si>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</si>
  <si>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</si>
  <si>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</si>
  <si>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</si>
  <si>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</si>
  <si>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</si>
  <si>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</si>
  <si>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</si>
  <si>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</si>
  <si>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</si>
  <si>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</si>
  <si>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</si>
  <si>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</si>
  <si>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</si>
  <si>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</si>
  <si>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</si>
  <si>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NetAmountAfterCharges</t>
  </si>
  <si>
    <t>NetAmountAfterDeductions</t>
  </si>
  <si>
    <t>RoundOffType</t>
  </si>
  <si>
    <t>RoundOffAccount</t>
  </si>
  <si>
    <t>RoundOffAmount</t>
  </si>
  <si>
    <t>TotalValue</t>
  </si>
  <si>
    <t>TotalValueInCompanyCurrency</t>
  </si>
  <si>
    <t>Round Off Account</t>
  </si>
  <si>
    <t>GSTIN</t>
  </si>
  <si>
    <t>Address1</t>
  </si>
  <si>
    <t>Address2</t>
  </si>
  <si>
    <t>Address3</t>
  </si>
  <si>
    <t>City</t>
  </si>
  <si>
    <t>State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</si>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</sst>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4"/>
  <sheetViews>
    <sheetView tabSelected="1" workbookViewId="0">
      <selection activeCell="N18" sqref="N18"/>
    </sheetView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19.28515625" bestFit="1" customWidth="1"/>
    <col min="5" max="5" width="13.42578125" bestFit="1" customWidth="1"/>
    <col min="6" max="6" width="16.140625" bestFit="1" customWidth="1"/>
    <col min="7" max="7" width="17.5703125" bestFit="1" customWidth="1"/>
    <col min="8" max="8" width="16.7109375" bestFit="1" customWidth="1"/>
    <col min="9" max="9" width="14" bestFit="1" customWidth="1"/>
    <col min="10" max="10" width="35.42578125" bestFit="1" customWidth="1"/>
    <col min="11" max="11" width="12.28515625" bestFit="1" customWidth="1"/>
    <col min="12" max="12" width="10.140625" bestFit="1" customWidth="1"/>
    <col min="13" max="13" width="21" bestFit="1" customWidth="1"/>
    <col min="14" max="14" width="27.7109375" bestFit="1" customWidth="1"/>
    <col min="15" max="15" width="14.42578125" bestFit="1" customWidth="1"/>
    <col min="16" max="16" width="43.5703125" bestFit="1" customWidth="1"/>
    <col min="17" max="17" width="16" bestFit="1" customWidth="1"/>
    <col min="18" max="18" width="8.5703125" bestFit="1" customWidth="1"/>
  </cols>
  <sheetData>
    <row r="1" spans="1:1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14</v>
      </c>
      <c r="R1" t="s">
        <v>33</v>
      </c>
    </row>
    <row r="2" spans="1:18" x14ac:dyDescent="0.25">
      <c r="A2" t="s">
        <v>35</v>
      </c>
      <c r="B2" s="1">
        <v>45849</v>
      </c>
      <c r="C2" t="s">
        <v>36</v>
      </c>
      <c r="D2" t="s">
        <v>38</v>
      </c>
      <c r="E2">
        <v>1</v>
      </c>
      <c r="F2">
        <v>1</v>
      </c>
      <c r="G2" t="s">
        <v>41</v>
      </c>
      <c r="H2" t="s">
        <v>41</v>
      </c>
      <c r="I2" t="s">
        <v>42</v>
      </c>
      <c r="J2" t="s">
        <v>43</v>
      </c>
      <c r="K2">
        <v>110</v>
      </c>
      <c r="L2" s="1">
        <v>45959</v>
      </c>
      <c r="M2">
        <v>0</v>
      </c>
      <c r="N2" t="s">
        <v>44</v>
      </c>
      <c r="O2" t="s">
        <v>45</v>
      </c>
      <c r="P2" t="s">
        <v>39</v>
      </c>
      <c r="Q2" t="s">
        <v>34</v>
      </c>
      <c r="R2" t="s">
        <v>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K18"/>
  <sheetViews>
    <sheetView topLeftCell="Y1" workbookViewId="0">
      <selection activeCell="AI18" sqref="AI18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11.140625" bestFit="1" customWidth="1"/>
    <col min="7" max="7" width="10.140625" bestFit="1" customWidth="1"/>
    <col min="8" max="8" width="16.140625" bestFit="1" customWidth="1"/>
    <col min="9" max="9" width="4.42578125" bestFit="1" customWidth="1"/>
    <col min="10" max="10" width="5.42578125" bestFit="1" customWidth="1"/>
    <col min="11" max="11" width="16.5703125" bestFit="1" customWidth="1"/>
    <col min="12" max="12" width="16.140625" bestFit="1" customWidth="1"/>
    <col min="13" max="13" width="21.5703125" bestFit="1" customWidth="1"/>
    <col min="14" max="14" width="8.7109375" bestFit="1" customWidth="1"/>
    <col min="15" max="15" width="14" bestFit="1" customWidth="1"/>
    <col min="16" max="16" width="12.5703125" bestFit="1" customWidth="1"/>
    <col min="17" max="17" width="8" bestFit="1" customWidth="1"/>
    <col min="18" max="18" width="12.140625" bestFit="1" customWidth="1"/>
    <col min="19" max="19" width="8.7109375" bestFit="1" customWidth="1"/>
    <col min="20" max="20" width="13.140625" bestFit="1" customWidth="1"/>
    <col min="21" max="21" width="34.5703125" bestFit="1" customWidth="1"/>
    <col min="22" max="22" width="9.7109375" bestFit="1" customWidth="1"/>
    <col min="23" max="23" width="17" bestFit="1" customWidth="1"/>
    <col min="24" max="24" width="28.28515625" bestFit="1" customWidth="1"/>
    <col min="25" max="25" width="9.7109375" bestFit="1" customWidth="1"/>
    <col min="26" max="26" width="17" bestFit="1" customWidth="1"/>
    <col min="27" max="27" width="28.28515625" bestFit="1" customWidth="1"/>
    <col min="28" max="28" width="9.7109375" bestFit="1" customWidth="1"/>
    <col min="29" max="29" width="17" bestFit="1" customWidth="1"/>
    <col min="30" max="30" width="11.85546875" bestFit="1" customWidth="1"/>
    <col min="31" max="31" width="14.5703125" bestFit="1" customWidth="1"/>
    <col min="32" max="32" width="19.28515625" bestFit="1" customWidth="1"/>
    <col min="33" max="33" width="20.140625" bestFit="1" customWidth="1"/>
    <col min="34" max="34" width="19.42578125" bestFit="1" customWidth="1"/>
    <col min="35" max="35" width="14.42578125" bestFit="1" customWidth="1"/>
    <col min="36" max="37" width="6" bestFit="1" customWidth="1"/>
    <col min="38" max="38" width="4.85546875" bestFit="1" customWidth="1"/>
    <col min="39" max="39" width="6" bestFit="1" customWidth="1"/>
    <col min="40" max="41" width="11.42578125" bestFit="1" customWidth="1"/>
    <col min="42" max="42" width="30" bestFit="1" customWidth="1"/>
    <col min="43" max="43" width="16.5703125" bestFit="1" customWidth="1"/>
    <col min="44" max="44" width="12" bestFit="1" customWidth="1"/>
    <col min="45" max="45" width="17.42578125" bestFit="1" customWidth="1"/>
    <col min="46" max="46" width="16.140625" bestFit="1" customWidth="1"/>
    <col min="47" max="47" width="10.5703125" bestFit="1" customWidth="1"/>
    <col min="48" max="48" width="5.5703125" bestFit="1" customWidth="1"/>
    <col min="49" max="52" width="6" bestFit="1" customWidth="1"/>
    <col min="53" max="57" width="7.140625" bestFit="1" customWidth="1"/>
    <col min="58" max="60" width="10.140625" bestFit="1" customWidth="1"/>
    <col min="61" max="63" width="6" bestFit="1" customWidth="1"/>
  </cols>
  <sheetData>
    <row r="1" spans="1:63" x14ac:dyDescent="0.25">
      <c r="A1" t="s">
        <v>47</v>
      </c>
      <c r="B1" t="s">
        <v>48</v>
      </c>
      <c r="C1" t="s">
        <v>49</v>
      </c>
      <c r="D1" t="s">
        <v>50</v>
      </c>
      <c r="E1" t="s">
        <v>324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6</v>
      </c>
      <c r="AK1" t="s">
        <v>7</v>
      </c>
      <c r="AL1" t="s">
        <v>8</v>
      </c>
      <c r="AM1" t="s">
        <v>9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</row>
    <row r="2" spans="1:63" x14ac:dyDescent="0.25">
      <c r="A2" s="2" t="s">
        <v>34</v>
      </c>
      <c r="B2" s="1">
        <v>45849</v>
      </c>
      <c r="C2" t="s">
        <v>106</v>
      </c>
      <c r="D2" t="s">
        <v>107</v>
      </c>
      <c r="E2" t="s">
        <v>325</v>
      </c>
      <c r="F2" t="s">
        <v>106</v>
      </c>
      <c r="G2" t="s">
        <v>108</v>
      </c>
      <c r="H2" t="s">
        <v>109</v>
      </c>
      <c r="I2" t="s">
        <v>110</v>
      </c>
      <c r="J2" t="s">
        <v>110</v>
      </c>
      <c r="K2">
        <v>1</v>
      </c>
      <c r="L2">
        <v>1.123</v>
      </c>
      <c r="M2">
        <v>1.123</v>
      </c>
      <c r="N2">
        <v>1.123</v>
      </c>
      <c r="O2">
        <v>1.123</v>
      </c>
      <c r="P2" s="1">
        <v>45854</v>
      </c>
      <c r="Q2">
        <v>500.11</v>
      </c>
      <c r="R2">
        <v>561.62</v>
      </c>
      <c r="S2">
        <v>250.11</v>
      </c>
      <c r="T2">
        <v>280.87</v>
      </c>
      <c r="U2" t="s">
        <v>111</v>
      </c>
      <c r="V2">
        <v>1.02</v>
      </c>
      <c r="W2">
        <v>2.86</v>
      </c>
      <c r="X2" t="s">
        <v>111</v>
      </c>
      <c r="Y2">
        <v>1.07</v>
      </c>
      <c r="Z2">
        <v>3.01</v>
      </c>
      <c r="AA2" t="s">
        <v>111</v>
      </c>
      <c r="AB2">
        <v>1.23</v>
      </c>
      <c r="AC2">
        <v>3.45</v>
      </c>
      <c r="AD2" t="s">
        <v>39</v>
      </c>
      <c r="AE2" t="s">
        <v>112</v>
      </c>
      <c r="AF2" t="s">
        <v>113</v>
      </c>
      <c r="AG2" t="s">
        <v>114</v>
      </c>
      <c r="AH2">
        <v>271.55</v>
      </c>
      <c r="AI2">
        <v>12</v>
      </c>
      <c r="AJ2">
        <v>16.29</v>
      </c>
      <c r="AK2">
        <v>16.29</v>
      </c>
      <c r="AL2">
        <v>0</v>
      </c>
      <c r="AM2">
        <v>2.72</v>
      </c>
      <c r="AN2">
        <v>35.299999999999997</v>
      </c>
      <c r="AO2">
        <v>306.85000000000002</v>
      </c>
      <c r="AP2">
        <v>306.85000000000002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>
        <v>1.28</v>
      </c>
      <c r="BB2">
        <v>1.34</v>
      </c>
      <c r="BC2">
        <v>1.39</v>
      </c>
      <c r="BD2">
        <v>1.45</v>
      </c>
      <c r="BE2">
        <v>1.51</v>
      </c>
      <c r="BF2" s="1">
        <v>45850</v>
      </c>
      <c r="BG2" s="1">
        <v>45851</v>
      </c>
      <c r="BH2" s="1">
        <v>45852</v>
      </c>
      <c r="BI2" t="s">
        <v>37</v>
      </c>
      <c r="BJ2" t="s">
        <v>37</v>
      </c>
      <c r="BK2" t="s">
        <v>37</v>
      </c>
    </row>
    <row r="3" spans="1:63" x14ac:dyDescent="0.25">
      <c r="A3" s="2" t="s">
        <v>34</v>
      </c>
      <c r="B3" s="1">
        <v>45849</v>
      </c>
      <c r="C3" t="s">
        <v>125</v>
      </c>
      <c r="D3" t="s">
        <v>126</v>
      </c>
      <c r="E3" t="s">
        <v>325</v>
      </c>
      <c r="F3" t="s">
        <v>125</v>
      </c>
      <c r="G3" t="s">
        <v>127</v>
      </c>
      <c r="H3" t="s">
        <v>109</v>
      </c>
      <c r="I3" t="s">
        <v>110</v>
      </c>
      <c r="J3" t="s">
        <v>110</v>
      </c>
      <c r="K3">
        <v>1</v>
      </c>
      <c r="L3">
        <v>1.1240000000000001</v>
      </c>
      <c r="M3">
        <v>1.1240000000000001</v>
      </c>
      <c r="N3">
        <v>1.1240000000000001</v>
      </c>
      <c r="O3">
        <v>1.1240000000000001</v>
      </c>
      <c r="P3" s="1">
        <v>45855</v>
      </c>
      <c r="Q3">
        <v>500.12</v>
      </c>
      <c r="R3">
        <v>562.13</v>
      </c>
      <c r="S3">
        <v>250.12</v>
      </c>
      <c r="T3">
        <v>281.13</v>
      </c>
      <c r="U3" t="s">
        <v>111</v>
      </c>
      <c r="V3">
        <v>1.03</v>
      </c>
      <c r="W3">
        <v>2.9</v>
      </c>
      <c r="X3" t="s">
        <v>128</v>
      </c>
      <c r="Y3">
        <v>1.08</v>
      </c>
      <c r="Z3">
        <v>3</v>
      </c>
      <c r="AA3" t="s">
        <v>128</v>
      </c>
      <c r="AB3">
        <v>1.24</v>
      </c>
      <c r="AC3">
        <v>3.45</v>
      </c>
      <c r="AD3" t="s">
        <v>39</v>
      </c>
      <c r="AE3" t="s">
        <v>129</v>
      </c>
      <c r="AF3" t="s">
        <v>130</v>
      </c>
      <c r="AG3" t="s">
        <v>131</v>
      </c>
      <c r="AH3">
        <v>271.77999999999997</v>
      </c>
      <c r="AI3">
        <v>18</v>
      </c>
      <c r="AJ3">
        <v>24.46</v>
      </c>
      <c r="AK3">
        <v>24.46</v>
      </c>
      <c r="AL3">
        <v>0</v>
      </c>
      <c r="AM3">
        <v>27.18</v>
      </c>
      <c r="AN3">
        <v>76.099999999999994</v>
      </c>
      <c r="AO3">
        <v>347.88</v>
      </c>
      <c r="AP3">
        <v>347.88</v>
      </c>
      <c r="AQ3" t="s">
        <v>132</v>
      </c>
      <c r="AR3" t="s">
        <v>133</v>
      </c>
      <c r="AS3" t="s">
        <v>134</v>
      </c>
      <c r="AT3" t="s">
        <v>135</v>
      </c>
      <c r="AU3" t="s">
        <v>136</v>
      </c>
      <c r="AV3" t="s">
        <v>137</v>
      </c>
      <c r="AW3" t="s">
        <v>138</v>
      </c>
      <c r="AX3" t="s">
        <v>139</v>
      </c>
      <c r="AY3" t="s">
        <v>140</v>
      </c>
      <c r="AZ3" t="s">
        <v>141</v>
      </c>
      <c r="BA3">
        <v>1.29</v>
      </c>
      <c r="BB3">
        <v>1.35</v>
      </c>
      <c r="BC3">
        <v>1.41</v>
      </c>
      <c r="BD3">
        <v>1.46</v>
      </c>
      <c r="BE3">
        <v>1.52</v>
      </c>
      <c r="BF3" s="1">
        <v>45853</v>
      </c>
      <c r="BG3" s="1">
        <v>45854</v>
      </c>
      <c r="BH3" s="1">
        <v>45855</v>
      </c>
      <c r="BI3" t="s">
        <v>37</v>
      </c>
      <c r="BJ3" t="s">
        <v>37</v>
      </c>
      <c r="BK3" t="s">
        <v>37</v>
      </c>
    </row>
    <row r="4" spans="1:63" x14ac:dyDescent="0.25">
      <c r="A4" s="2" t="s">
        <v>34</v>
      </c>
      <c r="B4" s="1">
        <v>45849</v>
      </c>
      <c r="C4" t="s">
        <v>142</v>
      </c>
      <c r="D4" t="s">
        <v>143</v>
      </c>
      <c r="E4" t="s">
        <v>325</v>
      </c>
      <c r="F4" t="s">
        <v>34</v>
      </c>
      <c r="G4" t="s">
        <v>144</v>
      </c>
      <c r="H4" t="s">
        <v>145</v>
      </c>
      <c r="I4" t="s">
        <v>110</v>
      </c>
      <c r="J4" t="s">
        <v>110</v>
      </c>
      <c r="K4">
        <v>1</v>
      </c>
      <c r="L4">
        <v>1.1259999999999999</v>
      </c>
      <c r="M4">
        <v>1.1259999999999999</v>
      </c>
      <c r="N4">
        <v>1.1259999999999999</v>
      </c>
      <c r="O4">
        <v>1.1259999999999999</v>
      </c>
      <c r="P4" s="1">
        <v>45856</v>
      </c>
      <c r="Q4">
        <v>1000.13</v>
      </c>
      <c r="R4">
        <v>1126.1500000000001</v>
      </c>
      <c r="S4">
        <v>100.13</v>
      </c>
      <c r="T4">
        <v>112.75</v>
      </c>
      <c r="U4" t="s">
        <v>146</v>
      </c>
      <c r="V4">
        <v>1.04</v>
      </c>
      <c r="W4">
        <v>1.17</v>
      </c>
      <c r="X4" t="s">
        <v>147</v>
      </c>
      <c r="Y4">
        <v>1.0900000000000001</v>
      </c>
      <c r="Z4">
        <v>1.22</v>
      </c>
      <c r="AA4" t="s">
        <v>147</v>
      </c>
      <c r="AB4">
        <v>1.25</v>
      </c>
      <c r="AC4">
        <v>1.39</v>
      </c>
      <c r="AD4" t="s">
        <v>39</v>
      </c>
      <c r="AE4" t="s">
        <v>148</v>
      </c>
      <c r="AF4" t="s">
        <v>149</v>
      </c>
      <c r="AG4" t="s">
        <v>114</v>
      </c>
      <c r="AH4">
        <v>108.97</v>
      </c>
      <c r="AI4">
        <v>1.5</v>
      </c>
      <c r="AJ4">
        <v>0.82</v>
      </c>
      <c r="AK4">
        <v>0.82</v>
      </c>
      <c r="AL4">
        <v>0</v>
      </c>
      <c r="AM4">
        <v>1.0900000000000001</v>
      </c>
      <c r="AN4">
        <v>2.73</v>
      </c>
      <c r="AO4">
        <v>111.7</v>
      </c>
      <c r="AP4">
        <v>111.7</v>
      </c>
      <c r="AQ4" t="s">
        <v>150</v>
      </c>
      <c r="AR4" t="s">
        <v>151</v>
      </c>
      <c r="AS4" t="s">
        <v>152</v>
      </c>
      <c r="AT4" t="s">
        <v>153</v>
      </c>
      <c r="AU4" t="s">
        <v>154</v>
      </c>
      <c r="AV4" t="s">
        <v>155</v>
      </c>
      <c r="AW4" t="s">
        <v>156</v>
      </c>
      <c r="AX4" t="s">
        <v>157</v>
      </c>
      <c r="AY4" t="s">
        <v>158</v>
      </c>
      <c r="AZ4" t="s">
        <v>159</v>
      </c>
      <c r="BA4">
        <v>1.31</v>
      </c>
      <c r="BB4">
        <v>1.36</v>
      </c>
      <c r="BC4">
        <v>1.42</v>
      </c>
      <c r="BD4">
        <v>1.47</v>
      </c>
      <c r="BE4">
        <v>1.53</v>
      </c>
      <c r="BF4" s="1">
        <v>45856</v>
      </c>
      <c r="BG4" s="1">
        <v>45857</v>
      </c>
      <c r="BH4" s="1">
        <v>45858</v>
      </c>
      <c r="BI4" t="s">
        <v>37</v>
      </c>
      <c r="BJ4" t="s">
        <v>37</v>
      </c>
      <c r="BK4" t="s">
        <v>37</v>
      </c>
    </row>
    <row r="5" spans="1:63" x14ac:dyDescent="0.25">
      <c r="A5" s="2" t="s">
        <v>34</v>
      </c>
      <c r="B5" s="1">
        <v>45849</v>
      </c>
      <c r="C5" t="s">
        <v>160</v>
      </c>
      <c r="D5" t="s">
        <v>161</v>
      </c>
      <c r="E5" t="s">
        <v>326</v>
      </c>
      <c r="F5" t="s">
        <v>160</v>
      </c>
      <c r="G5" t="s">
        <v>162</v>
      </c>
      <c r="H5" t="s">
        <v>109</v>
      </c>
      <c r="I5" t="s">
        <v>110</v>
      </c>
      <c r="J5" t="s">
        <v>110</v>
      </c>
      <c r="K5">
        <v>1</v>
      </c>
      <c r="L5">
        <v>1</v>
      </c>
      <c r="M5">
        <v>1</v>
      </c>
      <c r="N5">
        <v>1</v>
      </c>
      <c r="O5">
        <v>1</v>
      </c>
      <c r="P5" s="1">
        <v>45857</v>
      </c>
      <c r="Q5">
        <v>500.14</v>
      </c>
      <c r="R5">
        <v>500.14</v>
      </c>
      <c r="S5">
        <v>250.14</v>
      </c>
      <c r="T5">
        <v>250.14</v>
      </c>
      <c r="U5" t="s">
        <v>163</v>
      </c>
      <c r="V5">
        <v>1.05</v>
      </c>
      <c r="W5">
        <v>1.05</v>
      </c>
      <c r="X5" t="s">
        <v>163</v>
      </c>
      <c r="Y5">
        <v>1.21</v>
      </c>
      <c r="Z5">
        <v>1.21</v>
      </c>
      <c r="AA5" t="s">
        <v>164</v>
      </c>
      <c r="AB5">
        <v>1.26</v>
      </c>
      <c r="AC5">
        <v>3.12</v>
      </c>
      <c r="AD5" t="s">
        <v>39</v>
      </c>
      <c r="AE5" t="s">
        <v>165</v>
      </c>
      <c r="AF5" t="s">
        <v>113</v>
      </c>
      <c r="AG5" t="s">
        <v>114</v>
      </c>
      <c r="AH5">
        <v>244.76</v>
      </c>
      <c r="AI5">
        <v>12</v>
      </c>
      <c r="AJ5">
        <v>14.69</v>
      </c>
      <c r="AK5">
        <v>14.69</v>
      </c>
      <c r="AL5">
        <v>0</v>
      </c>
      <c r="AM5">
        <v>2.4500000000000002</v>
      </c>
      <c r="AN5">
        <v>31.83</v>
      </c>
      <c r="AO5">
        <v>276.58999999999997</v>
      </c>
      <c r="AP5">
        <v>276.58999999999997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>
        <v>1.32</v>
      </c>
      <c r="BB5">
        <v>1.37</v>
      </c>
      <c r="BC5">
        <v>1.43</v>
      </c>
      <c r="BD5">
        <v>1.48</v>
      </c>
      <c r="BE5">
        <v>1.54</v>
      </c>
      <c r="BF5" s="1">
        <v>45859</v>
      </c>
      <c r="BG5" s="1">
        <v>45860</v>
      </c>
      <c r="BH5" s="1">
        <v>45861</v>
      </c>
      <c r="BI5" t="s">
        <v>37</v>
      </c>
      <c r="BJ5" t="s">
        <v>37</v>
      </c>
      <c r="BK5" t="s">
        <v>37</v>
      </c>
    </row>
    <row r="6" spans="1:63" x14ac:dyDescent="0.25">
      <c r="A6" s="2" t="s">
        <v>34</v>
      </c>
      <c r="B6" s="1">
        <v>45849</v>
      </c>
      <c r="C6" t="s">
        <v>176</v>
      </c>
      <c r="D6" t="s">
        <v>177</v>
      </c>
      <c r="E6" t="s">
        <v>327</v>
      </c>
      <c r="F6" t="s">
        <v>34</v>
      </c>
      <c r="G6" t="s">
        <v>178</v>
      </c>
      <c r="H6" t="s">
        <v>109</v>
      </c>
      <c r="I6" t="s">
        <v>110</v>
      </c>
      <c r="J6" t="s">
        <v>110</v>
      </c>
      <c r="K6">
        <v>1</v>
      </c>
      <c r="L6">
        <v>1.1200000000000001</v>
      </c>
      <c r="M6">
        <v>1.1200000000000001</v>
      </c>
      <c r="N6">
        <v>1.1200000000000001</v>
      </c>
      <c r="O6">
        <v>1.1200000000000001</v>
      </c>
      <c r="P6" s="1">
        <v>45858</v>
      </c>
      <c r="Q6">
        <v>500.15</v>
      </c>
      <c r="R6">
        <v>560.16999999999996</v>
      </c>
      <c r="S6">
        <v>250.15</v>
      </c>
      <c r="T6">
        <v>280.17</v>
      </c>
      <c r="U6" t="s">
        <v>179</v>
      </c>
      <c r="V6">
        <v>1.06</v>
      </c>
      <c r="W6">
        <v>1.06</v>
      </c>
      <c r="X6" t="s">
        <v>179</v>
      </c>
      <c r="Y6">
        <v>1.22</v>
      </c>
      <c r="Z6">
        <v>1.22</v>
      </c>
      <c r="AA6" t="s">
        <v>180</v>
      </c>
      <c r="AB6">
        <v>1.27</v>
      </c>
      <c r="AC6">
        <v>3.54</v>
      </c>
      <c r="AD6" t="s">
        <v>39</v>
      </c>
      <c r="AE6" t="s">
        <v>181</v>
      </c>
      <c r="AF6" t="s">
        <v>182</v>
      </c>
      <c r="AG6" t="s">
        <v>183</v>
      </c>
      <c r="AH6">
        <v>274.35000000000002</v>
      </c>
      <c r="AI6">
        <v>28</v>
      </c>
      <c r="AJ6">
        <v>38.409999999999997</v>
      </c>
      <c r="AK6">
        <v>38.409999999999997</v>
      </c>
      <c r="AL6">
        <v>0</v>
      </c>
      <c r="AM6">
        <v>41.15</v>
      </c>
      <c r="AN6">
        <v>117.97</v>
      </c>
      <c r="AO6">
        <v>392.32</v>
      </c>
      <c r="AP6">
        <v>392.32</v>
      </c>
      <c r="AQ6" t="s">
        <v>184</v>
      </c>
      <c r="AR6" t="s">
        <v>185</v>
      </c>
      <c r="AS6" t="s">
        <v>186</v>
      </c>
      <c r="AT6" t="s">
        <v>187</v>
      </c>
      <c r="AU6" t="s">
        <v>188</v>
      </c>
      <c r="AV6" t="s">
        <v>189</v>
      </c>
      <c r="AW6" t="s">
        <v>190</v>
      </c>
      <c r="AX6" t="s">
        <v>191</v>
      </c>
      <c r="AY6" t="s">
        <v>192</v>
      </c>
      <c r="AZ6" t="s">
        <v>193</v>
      </c>
      <c r="BA6">
        <v>1.33</v>
      </c>
      <c r="BB6">
        <v>1.38</v>
      </c>
      <c r="BC6">
        <v>1.44</v>
      </c>
      <c r="BD6">
        <v>1.49</v>
      </c>
      <c r="BE6">
        <v>1.55</v>
      </c>
      <c r="BF6" s="1">
        <v>45862</v>
      </c>
      <c r="BG6" s="1">
        <v>45863</v>
      </c>
      <c r="BH6" s="1">
        <v>45864</v>
      </c>
      <c r="BI6" t="s">
        <v>37</v>
      </c>
      <c r="BJ6" t="s">
        <v>37</v>
      </c>
      <c r="BK6" t="s">
        <v>37</v>
      </c>
    </row>
    <row r="8" spans="1:63" s="3" customFormat="1" x14ac:dyDescent="0.25">
      <c r="N8" s="3">
        <f>SUM(N2:N6)</f>
        <v>5.4929999999999994</v>
      </c>
      <c r="O8" s="3">
        <f>SUM(O2:O6)</f>
        <v>5.4929999999999994</v>
      </c>
      <c r="R8" s="3">
        <f>SUM(R2:R6)</f>
        <v>3310.21</v>
      </c>
      <c r="T8" s="3">
        <f>SUM(T2:T6)</f>
        <v>1205.06</v>
      </c>
      <c r="W8" s="3">
        <f>SUM(W2:W6)</f>
        <v>9.0399999999999991</v>
      </c>
      <c r="Z8" s="2">
        <f>SUM(Z2:Z6)</f>
        <v>9.66</v>
      </c>
      <c r="AA8" s="2"/>
      <c r="AB8" s="2"/>
      <c r="AC8" s="2">
        <f>SUM(AC2:AC6)</f>
        <v>14.95</v>
      </c>
      <c r="AD8" s="2"/>
      <c r="AE8" s="2"/>
      <c r="AF8" s="2"/>
      <c r="AG8" s="2"/>
      <c r="AH8" s="2">
        <f>SUM(AH2:AH6)</f>
        <v>1171.4099999999999</v>
      </c>
      <c r="AI8" s="2"/>
      <c r="AJ8" s="2">
        <f t="shared" ref="AJ8:AP8" si="0">SUM(AJ2:AJ6)</f>
        <v>94.669999999999987</v>
      </c>
      <c r="AK8" s="2">
        <f t="shared" si="0"/>
        <v>94.669999999999987</v>
      </c>
      <c r="AL8" s="2">
        <f t="shared" si="0"/>
        <v>0</v>
      </c>
      <c r="AM8" s="2">
        <f t="shared" si="0"/>
        <v>74.59</v>
      </c>
      <c r="AN8" s="2">
        <f t="shared" si="0"/>
        <v>263.92999999999995</v>
      </c>
      <c r="AO8" s="2">
        <f t="shared" si="0"/>
        <v>1435.34</v>
      </c>
      <c r="AP8" s="2">
        <f t="shared" si="0"/>
        <v>1435.34</v>
      </c>
    </row>
    <row r="9" spans="1:63" s="3" customFormat="1" x14ac:dyDescent="0.25"/>
    <row r="10" spans="1:63" s="3" customFormat="1" x14ac:dyDescent="0.25">
      <c r="T10" s="3">
        <f>$S2*$N2</f>
        <v>280.87353000000002</v>
      </c>
      <c r="W10" s="3">
        <f>$T10*V2%</f>
        <v>2.8649100060000006</v>
      </c>
      <c r="Z10" s="3">
        <f>$T10*Y2%</f>
        <v>3.0053467710000006</v>
      </c>
      <c r="AC10" s="3">
        <f>$T10*AB2%</f>
        <v>3.4547444190000003</v>
      </c>
      <c r="AE10" s="3">
        <f>SUM(W10:AC10)</f>
        <v>9.3250011960000023</v>
      </c>
      <c r="AH10" s="3">
        <f>T10-AE10</f>
        <v>271.548528804</v>
      </c>
      <c r="AN10" s="3">
        <f>AH10*AI2%</f>
        <v>32.58582345648</v>
      </c>
      <c r="AO10" s="3">
        <f>ROUND(AH10+AN10,2)</f>
        <v>304.13</v>
      </c>
    </row>
    <row r="11" spans="1:63" s="3" customFormat="1" x14ac:dyDescent="0.25">
      <c r="T11" s="3">
        <f>$S3*$N3</f>
        <v>281.13488000000001</v>
      </c>
      <c r="W11" s="3">
        <f>$T11*V3%</f>
        <v>2.895689264</v>
      </c>
      <c r="Z11" s="3">
        <f>($T11-$W11)*Y3%</f>
        <v>3.0049832599488004</v>
      </c>
      <c r="AC11" s="3">
        <f>($T11-$W11)*AB3%</f>
        <v>3.4501659651263998</v>
      </c>
      <c r="AE11" s="3">
        <f>SUM(W11:AC11)</f>
        <v>9.3508384890752012</v>
      </c>
      <c r="AH11" s="3">
        <f>T11-AE11</f>
        <v>271.78404151092479</v>
      </c>
      <c r="AN11" s="3">
        <f>AH11*AI3%</f>
        <v>48.921127471966464</v>
      </c>
      <c r="AO11" s="3">
        <f>ROUND(AH11+AN11,2)</f>
        <v>320.70999999999998</v>
      </c>
    </row>
    <row r="12" spans="1:63" s="3" customFormat="1" x14ac:dyDescent="0.25">
      <c r="T12" s="3">
        <f>$S4*$N4</f>
        <v>112.74637999999999</v>
      </c>
      <c r="W12" s="3">
        <f>$T12*V4%</f>
        <v>1.1725623519999999</v>
      </c>
      <c r="Z12" s="3">
        <f>($T12-$W12)*Y4%</f>
        <v>1.2161546123631999</v>
      </c>
      <c r="AC12" s="3">
        <f>($T12-$W12)*AB4%</f>
        <v>1.3946727206</v>
      </c>
      <c r="AE12" s="3">
        <f>SUM(W12:AC12)</f>
        <v>3.7833896849631996</v>
      </c>
      <c r="AH12" s="3">
        <f>T12-AE12</f>
        <v>108.96299031503679</v>
      </c>
      <c r="AN12" s="3">
        <f>AH12*AI4%</f>
        <v>1.6344448547255519</v>
      </c>
      <c r="AO12" s="3">
        <f>ROUND(AH12+AN12,2)</f>
        <v>110.6</v>
      </c>
    </row>
    <row r="13" spans="1:63" s="3" customFormat="1" x14ac:dyDescent="0.25">
      <c r="T13" s="3">
        <f>$S5*$N5</f>
        <v>250.14</v>
      </c>
      <c r="W13" s="3">
        <f>$V5/$N5</f>
        <v>1.05</v>
      </c>
      <c r="Z13" s="3">
        <f>$V5/$N5</f>
        <v>1.05</v>
      </c>
      <c r="AC13" s="3">
        <f>($T13-$W13-$Z13)*AB5%</f>
        <v>3.1253039999999994</v>
      </c>
      <c r="AE13" s="3">
        <f>SUM(W13:AC13)</f>
        <v>5.2253039999999995</v>
      </c>
      <c r="AH13" s="3">
        <f>T13-AE13</f>
        <v>244.91469599999999</v>
      </c>
      <c r="AN13" s="3">
        <f>AH13*AI5%</f>
        <v>29.389763519999999</v>
      </c>
      <c r="AO13" s="3">
        <f>ROUND(AH13+AN13,2)</f>
        <v>274.3</v>
      </c>
    </row>
    <row r="14" spans="1:63" s="3" customFormat="1" x14ac:dyDescent="0.25">
      <c r="T14" s="3">
        <f>$S6*$N6</f>
        <v>280.16800000000001</v>
      </c>
      <c r="W14" s="3">
        <f>V6</f>
        <v>1.06</v>
      </c>
      <c r="Z14" s="3">
        <f>Y6</f>
        <v>1.22</v>
      </c>
      <c r="AC14" s="3">
        <f>($T14-$Z14)*AB6%</f>
        <v>3.5426395999999998</v>
      </c>
      <c r="AE14" s="3">
        <f>SUM(W14:AC14)</f>
        <v>5.8226396000000005</v>
      </c>
      <c r="AH14" s="3">
        <f>T14-AE14</f>
        <v>274.3453604</v>
      </c>
      <c r="AN14" s="3">
        <f>AH14*AI6%</f>
        <v>76.816700912000002</v>
      </c>
      <c r="AO14" s="3">
        <f>ROUND(AH14+AN14,2)</f>
        <v>351.16</v>
      </c>
    </row>
    <row r="15" spans="1:63" s="3" customFormat="1" x14ac:dyDescent="0.25"/>
    <row r="16" spans="1:63" s="3" customFormat="1" x14ac:dyDescent="0.25">
      <c r="T16" s="3">
        <f>SUM(T10:T14)</f>
        <v>1205.0627899999999</v>
      </c>
      <c r="W16" s="3">
        <f>SUM(W10:W14)</f>
        <v>9.0431616219999995</v>
      </c>
      <c r="Z16" s="3">
        <f>SUM(Z10:Z14)</f>
        <v>9.4964846433120016</v>
      </c>
      <c r="AC16" s="3">
        <f>SUM(AC10:AC14)</f>
        <v>14.967526704726399</v>
      </c>
      <c r="AE16" s="3">
        <f>SUM(AE10:AE14)</f>
        <v>33.507172970038404</v>
      </c>
      <c r="AH16" s="3">
        <f>SUM(AH10:AH14)</f>
        <v>1171.5556170299615</v>
      </c>
      <c r="AN16" s="3">
        <f>SUM(AN10:AN14)</f>
        <v>189.34786021517203</v>
      </c>
      <c r="AO16" s="3">
        <f>SUM(AO10:AO14)</f>
        <v>1360.9</v>
      </c>
    </row>
    <row r="17" spans="20:41" s="3" customFormat="1" x14ac:dyDescent="0.25"/>
    <row r="18" spans="20:41" s="3" customFormat="1" x14ac:dyDescent="0.25">
      <c r="T18" s="3">
        <f>T8-T16</f>
        <v>-2.7900000000045111E-3</v>
      </c>
      <c r="W18" s="3">
        <f>W8-W16</f>
        <v>-3.1616220000003636E-3</v>
      </c>
      <c r="Z18" s="3">
        <f>Z8-Z16</f>
        <v>0.16351535668799855</v>
      </c>
      <c r="AC18" s="3">
        <f>AC8-AC16</f>
        <v>-1.7526704726400055E-2</v>
      </c>
      <c r="AH18" s="3">
        <f>AH8-AH16</f>
        <v>-0.1456170299616133</v>
      </c>
      <c r="AN18" s="3">
        <f>AN8-AN16</f>
        <v>74.582139784827916</v>
      </c>
      <c r="AO18" s="3">
        <f>AO8-AO16</f>
        <v>74.439999999999827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20.425781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</row>
    <row r="2" spans="1:17" x14ac:dyDescent="0.25">
      <c r="A2" t="s">
        <v>202</v>
      </c>
      <c r="B2" t="s">
        <v>206</v>
      </c>
      <c r="C2" t="s">
        <v>206</v>
      </c>
      <c r="D2" s="2" t="s">
        <v>207</v>
      </c>
      <c r="E2" s="2">
        <v>1171.4100000000001</v>
      </c>
      <c r="F2">
        <v>1.6</v>
      </c>
      <c r="G2" t="s">
        <v>39</v>
      </c>
      <c r="H2" s="2">
        <v>18.739999999999998</v>
      </c>
      <c r="I2" s="2">
        <v>18.739999999999998</v>
      </c>
      <c r="J2">
        <v>18.739999999999998</v>
      </c>
      <c r="K2">
        <v>0</v>
      </c>
      <c r="L2">
        <v>0</v>
      </c>
      <c r="M2" t="s">
        <v>208</v>
      </c>
      <c r="N2" t="s">
        <v>209</v>
      </c>
      <c r="O2" t="s">
        <v>210</v>
      </c>
      <c r="P2" t="s">
        <v>211</v>
      </c>
      <c r="Q2" t="s">
        <v>212</v>
      </c>
    </row>
    <row r="3" spans="1:17" x14ac:dyDescent="0.25">
      <c r="A3" t="s">
        <v>202</v>
      </c>
      <c r="B3" t="s">
        <v>213</v>
      </c>
      <c r="C3" t="s">
        <v>213</v>
      </c>
      <c r="D3" t="s">
        <v>214</v>
      </c>
      <c r="E3">
        <v>1205.06</v>
      </c>
      <c r="F3">
        <v>1.56</v>
      </c>
      <c r="G3" t="s">
        <v>39</v>
      </c>
      <c r="H3">
        <v>18.8</v>
      </c>
      <c r="I3">
        <v>18.8</v>
      </c>
      <c r="J3">
        <v>18.8</v>
      </c>
      <c r="K3">
        <v>0</v>
      </c>
      <c r="L3">
        <v>0</v>
      </c>
      <c r="M3" t="s">
        <v>215</v>
      </c>
      <c r="N3" t="s">
        <v>216</v>
      </c>
      <c r="O3" t="s">
        <v>217</v>
      </c>
      <c r="P3" t="s">
        <v>218</v>
      </c>
      <c r="Q3" t="s">
        <v>219</v>
      </c>
    </row>
    <row r="4" spans="1:17" x14ac:dyDescent="0.25">
      <c r="A4" t="s">
        <v>204</v>
      </c>
      <c r="B4" t="s">
        <v>220</v>
      </c>
      <c r="C4" t="s">
        <v>220</v>
      </c>
      <c r="D4" s="2" t="s">
        <v>207</v>
      </c>
      <c r="E4" s="2">
        <v>1171.4100000000001</v>
      </c>
      <c r="F4">
        <v>1.57</v>
      </c>
      <c r="G4" t="s">
        <v>39</v>
      </c>
      <c r="H4" s="2">
        <v>18.39</v>
      </c>
      <c r="I4">
        <v>0</v>
      </c>
      <c r="J4">
        <v>0</v>
      </c>
      <c r="K4" s="2">
        <v>18.39</v>
      </c>
      <c r="L4" s="2">
        <v>18.39</v>
      </c>
      <c r="M4" t="s">
        <v>221</v>
      </c>
      <c r="N4" t="s">
        <v>222</v>
      </c>
      <c r="O4" t="s">
        <v>223</v>
      </c>
      <c r="P4" t="s">
        <v>224</v>
      </c>
      <c r="Q4" t="s">
        <v>225</v>
      </c>
    </row>
    <row r="5" spans="1:17" x14ac:dyDescent="0.25">
      <c r="A5" t="s">
        <v>204</v>
      </c>
      <c r="B5" t="s">
        <v>226</v>
      </c>
      <c r="C5" t="s">
        <v>226</v>
      </c>
      <c r="D5" s="2" t="s">
        <v>227</v>
      </c>
      <c r="E5" s="2">
        <v>1435.34</v>
      </c>
      <c r="F5">
        <v>1.58</v>
      </c>
      <c r="G5" t="s">
        <v>39</v>
      </c>
      <c r="H5" s="2">
        <v>22.68</v>
      </c>
      <c r="I5">
        <v>0</v>
      </c>
      <c r="J5">
        <v>0</v>
      </c>
      <c r="K5" s="2">
        <v>22.68</v>
      </c>
      <c r="L5" s="2">
        <v>22.68</v>
      </c>
      <c r="M5" t="s">
        <v>228</v>
      </c>
      <c r="N5" t="s">
        <v>229</v>
      </c>
      <c r="O5" t="s">
        <v>230</v>
      </c>
      <c r="P5" t="s">
        <v>231</v>
      </c>
      <c r="Q5" t="s">
        <v>232</v>
      </c>
    </row>
    <row r="6" spans="1:17" x14ac:dyDescent="0.25">
      <c r="A6" t="s">
        <v>204</v>
      </c>
      <c r="B6" t="s">
        <v>233</v>
      </c>
      <c r="C6" t="s">
        <v>233</v>
      </c>
      <c r="D6" s="2" t="s">
        <v>234</v>
      </c>
      <c r="E6" s="2">
        <v>1431.81</v>
      </c>
      <c r="F6">
        <v>1.59</v>
      </c>
      <c r="G6" t="s">
        <v>39</v>
      </c>
      <c r="H6" s="2">
        <v>22.77</v>
      </c>
      <c r="I6">
        <v>0</v>
      </c>
      <c r="J6">
        <v>0</v>
      </c>
      <c r="K6" s="2">
        <v>22.77</v>
      </c>
      <c r="L6" s="2">
        <v>22.77</v>
      </c>
      <c r="M6" t="s">
        <v>235</v>
      </c>
      <c r="N6" t="s">
        <v>236</v>
      </c>
      <c r="O6" t="s">
        <v>237</v>
      </c>
      <c r="P6" t="s">
        <v>238</v>
      </c>
      <c r="Q6" t="s">
        <v>239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3.57031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240</v>
      </c>
      <c r="B1" t="s">
        <v>241</v>
      </c>
      <c r="C1" t="s">
        <v>78</v>
      </c>
      <c r="D1" t="s">
        <v>242</v>
      </c>
      <c r="E1" t="s">
        <v>197</v>
      </c>
      <c r="F1" t="s">
        <v>243</v>
      </c>
      <c r="G1" t="s">
        <v>244</v>
      </c>
      <c r="H1" t="s">
        <v>245</v>
      </c>
      <c r="I1" t="s">
        <v>59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  <row r="2" spans="1:19" x14ac:dyDescent="0.25">
      <c r="A2" t="s">
        <v>6</v>
      </c>
      <c r="B2" t="s">
        <v>256</v>
      </c>
      <c r="C2" t="s">
        <v>113</v>
      </c>
      <c r="D2">
        <v>6</v>
      </c>
      <c r="E2" t="s">
        <v>257</v>
      </c>
      <c r="F2">
        <v>0</v>
      </c>
      <c r="G2">
        <v>0</v>
      </c>
      <c r="H2" s="2">
        <v>271.55</v>
      </c>
      <c r="I2">
        <v>1.123</v>
      </c>
      <c r="J2" s="2">
        <v>16.29</v>
      </c>
      <c r="K2" t="s">
        <v>258</v>
      </c>
      <c r="L2" t="s">
        <v>39</v>
      </c>
      <c r="M2">
        <v>0</v>
      </c>
      <c r="N2">
        <v>0</v>
      </c>
      <c r="O2">
        <v>0</v>
      </c>
      <c r="P2">
        <v>0</v>
      </c>
      <c r="Q2" t="s">
        <v>39</v>
      </c>
      <c r="R2" t="s">
        <v>34</v>
      </c>
      <c r="S2">
        <v>0</v>
      </c>
    </row>
    <row r="3" spans="1:19" x14ac:dyDescent="0.25">
      <c r="A3" t="s">
        <v>6</v>
      </c>
      <c r="B3" t="s">
        <v>256</v>
      </c>
      <c r="C3" t="s">
        <v>130</v>
      </c>
      <c r="D3">
        <v>9</v>
      </c>
      <c r="E3" t="s">
        <v>257</v>
      </c>
      <c r="F3">
        <v>0</v>
      </c>
      <c r="G3">
        <v>0</v>
      </c>
      <c r="H3" s="2">
        <v>271.77999999999997</v>
      </c>
      <c r="I3">
        <v>1.1240000000000001</v>
      </c>
      <c r="J3" s="2">
        <v>24.46</v>
      </c>
      <c r="K3" t="s">
        <v>258</v>
      </c>
      <c r="L3" t="s">
        <v>39</v>
      </c>
      <c r="M3">
        <v>0</v>
      </c>
      <c r="N3">
        <v>0</v>
      </c>
      <c r="O3">
        <v>0</v>
      </c>
      <c r="P3">
        <v>0</v>
      </c>
      <c r="Q3" t="s">
        <v>39</v>
      </c>
      <c r="R3" t="s">
        <v>34</v>
      </c>
      <c r="S3">
        <v>0</v>
      </c>
    </row>
    <row r="4" spans="1:19" x14ac:dyDescent="0.25">
      <c r="A4" t="s">
        <v>6</v>
      </c>
      <c r="B4" t="s">
        <v>256</v>
      </c>
      <c r="C4" t="s">
        <v>149</v>
      </c>
      <c r="D4">
        <v>0.75</v>
      </c>
      <c r="E4" t="s">
        <v>257</v>
      </c>
      <c r="F4">
        <v>0</v>
      </c>
      <c r="G4">
        <v>0</v>
      </c>
      <c r="H4" s="2">
        <v>108.97</v>
      </c>
      <c r="I4">
        <v>1.1259999999999999</v>
      </c>
      <c r="J4" s="2">
        <v>0.82</v>
      </c>
      <c r="K4" t="s">
        <v>258</v>
      </c>
      <c r="L4" t="s">
        <v>39</v>
      </c>
      <c r="M4">
        <v>0</v>
      </c>
      <c r="N4">
        <v>0</v>
      </c>
      <c r="O4">
        <v>0</v>
      </c>
      <c r="P4">
        <v>0</v>
      </c>
      <c r="Q4" t="s">
        <v>39</v>
      </c>
      <c r="R4" t="s">
        <v>34</v>
      </c>
      <c r="S4">
        <v>0</v>
      </c>
    </row>
    <row r="5" spans="1:19" x14ac:dyDescent="0.25">
      <c r="A5" t="s">
        <v>6</v>
      </c>
      <c r="B5" t="s">
        <v>256</v>
      </c>
      <c r="C5" t="s">
        <v>113</v>
      </c>
      <c r="D5">
        <v>6</v>
      </c>
      <c r="E5" t="s">
        <v>257</v>
      </c>
      <c r="F5">
        <v>0</v>
      </c>
      <c r="G5">
        <v>0</v>
      </c>
      <c r="H5" s="2">
        <v>244.76</v>
      </c>
      <c r="I5">
        <v>1</v>
      </c>
      <c r="J5" s="2">
        <v>14.69</v>
      </c>
      <c r="K5" t="s">
        <v>258</v>
      </c>
      <c r="L5" t="s">
        <v>39</v>
      </c>
      <c r="M5">
        <v>0</v>
      </c>
      <c r="N5">
        <v>0</v>
      </c>
      <c r="O5">
        <v>0</v>
      </c>
      <c r="P5">
        <v>0</v>
      </c>
      <c r="Q5" t="s">
        <v>39</v>
      </c>
      <c r="R5" t="s">
        <v>34</v>
      </c>
      <c r="S5">
        <v>0</v>
      </c>
    </row>
    <row r="6" spans="1:19" x14ac:dyDescent="0.25">
      <c r="A6" t="s">
        <v>6</v>
      </c>
      <c r="B6" t="s">
        <v>256</v>
      </c>
      <c r="C6" t="s">
        <v>182</v>
      </c>
      <c r="D6">
        <v>14</v>
      </c>
      <c r="E6" t="s">
        <v>257</v>
      </c>
      <c r="F6">
        <v>0</v>
      </c>
      <c r="G6">
        <v>0</v>
      </c>
      <c r="H6" s="2">
        <v>274.35000000000002</v>
      </c>
      <c r="I6">
        <v>1.1200000000000001</v>
      </c>
      <c r="J6" s="2">
        <v>38.409999999999997</v>
      </c>
      <c r="K6" t="s">
        <v>258</v>
      </c>
      <c r="L6" t="s">
        <v>39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34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3.425781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240</v>
      </c>
      <c r="B1" t="s">
        <v>241</v>
      </c>
      <c r="C1" t="s">
        <v>78</v>
      </c>
      <c r="D1" t="s">
        <v>242</v>
      </c>
      <c r="E1" t="s">
        <v>197</v>
      </c>
      <c r="F1" t="s">
        <v>243</v>
      </c>
      <c r="G1" t="s">
        <v>244</v>
      </c>
      <c r="H1" t="s">
        <v>245</v>
      </c>
      <c r="I1" t="s">
        <v>59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  <row r="2" spans="1:19" x14ac:dyDescent="0.25">
      <c r="A2" t="s">
        <v>7</v>
      </c>
      <c r="B2" t="s">
        <v>256</v>
      </c>
      <c r="C2" t="s">
        <v>113</v>
      </c>
      <c r="D2">
        <v>6</v>
      </c>
      <c r="E2" t="s">
        <v>257</v>
      </c>
      <c r="F2">
        <v>0</v>
      </c>
      <c r="G2">
        <v>0</v>
      </c>
      <c r="H2" s="2">
        <v>271.55</v>
      </c>
      <c r="I2">
        <v>1.123</v>
      </c>
      <c r="J2" s="2">
        <v>16.29</v>
      </c>
      <c r="K2" t="s">
        <v>259</v>
      </c>
      <c r="L2" t="s">
        <v>39</v>
      </c>
      <c r="M2">
        <v>0</v>
      </c>
      <c r="N2">
        <v>0</v>
      </c>
      <c r="O2">
        <v>0</v>
      </c>
      <c r="P2">
        <v>0</v>
      </c>
      <c r="Q2" t="s">
        <v>39</v>
      </c>
      <c r="R2" t="s">
        <v>34</v>
      </c>
      <c r="S2">
        <v>0</v>
      </c>
    </row>
    <row r="3" spans="1:19" x14ac:dyDescent="0.25">
      <c r="A3" t="s">
        <v>7</v>
      </c>
      <c r="B3" t="s">
        <v>256</v>
      </c>
      <c r="C3" t="s">
        <v>130</v>
      </c>
      <c r="D3">
        <v>9</v>
      </c>
      <c r="E3" t="s">
        <v>257</v>
      </c>
      <c r="F3">
        <v>0</v>
      </c>
      <c r="G3">
        <v>0</v>
      </c>
      <c r="H3" s="2">
        <v>271.77999999999997</v>
      </c>
      <c r="I3">
        <v>1.1240000000000001</v>
      </c>
      <c r="J3" s="2">
        <v>24.46</v>
      </c>
      <c r="K3" t="s">
        <v>259</v>
      </c>
      <c r="L3" t="s">
        <v>39</v>
      </c>
      <c r="M3">
        <v>0</v>
      </c>
      <c r="N3">
        <v>0</v>
      </c>
      <c r="O3">
        <v>0</v>
      </c>
      <c r="P3">
        <v>0</v>
      </c>
      <c r="Q3" t="s">
        <v>39</v>
      </c>
      <c r="R3" t="s">
        <v>34</v>
      </c>
      <c r="S3">
        <v>0</v>
      </c>
    </row>
    <row r="4" spans="1:19" x14ac:dyDescent="0.25">
      <c r="A4" t="s">
        <v>7</v>
      </c>
      <c r="B4" t="s">
        <v>256</v>
      </c>
      <c r="C4" t="s">
        <v>149</v>
      </c>
      <c r="D4">
        <v>0.75</v>
      </c>
      <c r="E4" t="s">
        <v>257</v>
      </c>
      <c r="F4">
        <v>0</v>
      </c>
      <c r="G4">
        <v>0</v>
      </c>
      <c r="H4" s="2">
        <v>108.97</v>
      </c>
      <c r="I4">
        <v>1.1259999999999999</v>
      </c>
      <c r="J4" s="2">
        <v>0.82</v>
      </c>
      <c r="K4" t="s">
        <v>259</v>
      </c>
      <c r="L4" t="s">
        <v>39</v>
      </c>
      <c r="M4">
        <v>0</v>
      </c>
      <c r="N4">
        <v>0</v>
      </c>
      <c r="O4">
        <v>0</v>
      </c>
      <c r="P4">
        <v>0</v>
      </c>
      <c r="Q4" t="s">
        <v>39</v>
      </c>
      <c r="R4" t="s">
        <v>34</v>
      </c>
      <c r="S4">
        <v>0</v>
      </c>
    </row>
    <row r="5" spans="1:19" x14ac:dyDescent="0.25">
      <c r="A5" t="s">
        <v>7</v>
      </c>
      <c r="B5" t="s">
        <v>256</v>
      </c>
      <c r="C5" t="s">
        <v>113</v>
      </c>
      <c r="D5">
        <v>6</v>
      </c>
      <c r="E5" t="s">
        <v>257</v>
      </c>
      <c r="F5">
        <v>0</v>
      </c>
      <c r="G5">
        <v>0</v>
      </c>
      <c r="H5" s="2">
        <v>244.76</v>
      </c>
      <c r="I5">
        <v>1</v>
      </c>
      <c r="J5" s="2">
        <v>14.69</v>
      </c>
      <c r="K5" t="s">
        <v>259</v>
      </c>
      <c r="L5" t="s">
        <v>39</v>
      </c>
      <c r="M5">
        <v>0</v>
      </c>
      <c r="N5">
        <v>0</v>
      </c>
      <c r="O5">
        <v>0</v>
      </c>
      <c r="P5">
        <v>0</v>
      </c>
      <c r="Q5" t="s">
        <v>39</v>
      </c>
      <c r="R5" t="s">
        <v>34</v>
      </c>
      <c r="S5">
        <v>0</v>
      </c>
    </row>
    <row r="6" spans="1:19" x14ac:dyDescent="0.25">
      <c r="A6" t="s">
        <v>7</v>
      </c>
      <c r="B6" t="s">
        <v>256</v>
      </c>
      <c r="C6" t="s">
        <v>182</v>
      </c>
      <c r="D6">
        <v>14</v>
      </c>
      <c r="E6" t="s">
        <v>257</v>
      </c>
      <c r="F6">
        <v>0</v>
      </c>
      <c r="G6">
        <v>0</v>
      </c>
      <c r="H6" s="2">
        <v>274.35000000000002</v>
      </c>
      <c r="I6">
        <v>1.1200000000000001</v>
      </c>
      <c r="J6" s="2">
        <v>38.409999999999997</v>
      </c>
      <c r="K6" t="s">
        <v>259</v>
      </c>
      <c r="L6" t="s">
        <v>39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34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1" width="11.140625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240</v>
      </c>
      <c r="B1" t="s">
        <v>241</v>
      </c>
      <c r="C1" t="s">
        <v>78</v>
      </c>
      <c r="D1" t="s">
        <v>242</v>
      </c>
      <c r="E1" t="s">
        <v>197</v>
      </c>
      <c r="F1" t="s">
        <v>243</v>
      </c>
      <c r="G1" t="s">
        <v>244</v>
      </c>
      <c r="H1" t="s">
        <v>245</v>
      </c>
      <c r="I1" t="s">
        <v>59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7" bestFit="1" customWidth="1"/>
    <col min="12" max="12" width="19.7109375" bestFit="1" customWidth="1"/>
    <col min="13" max="13" width="11.140625" bestFit="1" customWidth="1"/>
    <col min="14" max="14" width="18.5703125" bestFit="1" customWidth="1"/>
    <col min="15" max="15" width="14.5703125" bestFit="1" customWidth="1"/>
    <col min="16" max="16" width="22" bestFit="1" customWidth="1"/>
    <col min="17" max="17" width="24.140625" bestFit="1" customWidth="1"/>
    <col min="18" max="18" width="15.7109375" bestFit="1" customWidth="1"/>
    <col min="19" max="19" width="14.85546875" bestFit="1" customWidth="1"/>
  </cols>
  <sheetData>
    <row r="1" spans="1:19" x14ac:dyDescent="0.25">
      <c r="A1" t="s">
        <v>240</v>
      </c>
      <c r="B1" t="s">
        <v>241</v>
      </c>
      <c r="C1" t="s">
        <v>78</v>
      </c>
      <c r="D1" t="s">
        <v>242</v>
      </c>
      <c r="E1" t="s">
        <v>197</v>
      </c>
      <c r="F1" t="s">
        <v>243</v>
      </c>
      <c r="G1" t="s">
        <v>244</v>
      </c>
      <c r="H1" t="s">
        <v>245</v>
      </c>
      <c r="I1" t="s">
        <v>59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  <row r="2" spans="1:19" x14ac:dyDescent="0.25">
      <c r="A2" t="s">
        <v>9</v>
      </c>
      <c r="B2" t="s">
        <v>256</v>
      </c>
      <c r="C2" t="s">
        <v>114</v>
      </c>
      <c r="D2">
        <v>1</v>
      </c>
      <c r="E2" t="s">
        <v>257</v>
      </c>
      <c r="F2">
        <v>0</v>
      </c>
      <c r="G2">
        <v>0</v>
      </c>
      <c r="H2" s="2">
        <v>271.55</v>
      </c>
      <c r="I2">
        <v>1.123</v>
      </c>
      <c r="J2" s="2">
        <v>2.72</v>
      </c>
      <c r="K2" t="s">
        <v>260</v>
      </c>
      <c r="L2" t="s">
        <v>39</v>
      </c>
      <c r="M2">
        <v>0</v>
      </c>
      <c r="N2">
        <v>0</v>
      </c>
      <c r="O2">
        <v>0</v>
      </c>
      <c r="P2">
        <v>0</v>
      </c>
      <c r="Q2" t="s">
        <v>39</v>
      </c>
      <c r="R2" t="s">
        <v>34</v>
      </c>
      <c r="S2">
        <v>0</v>
      </c>
    </row>
    <row r="3" spans="1:19" x14ac:dyDescent="0.25">
      <c r="A3" t="s">
        <v>9</v>
      </c>
      <c r="B3" t="s">
        <v>256</v>
      </c>
      <c r="C3" t="s">
        <v>131</v>
      </c>
      <c r="D3">
        <v>10</v>
      </c>
      <c r="E3" t="s">
        <v>257</v>
      </c>
      <c r="F3">
        <v>0</v>
      </c>
      <c r="G3">
        <v>0</v>
      </c>
      <c r="H3" s="2">
        <v>271.77999999999997</v>
      </c>
      <c r="I3">
        <v>1.1240000000000001</v>
      </c>
      <c r="J3" s="2">
        <v>27.18</v>
      </c>
      <c r="K3" t="s">
        <v>260</v>
      </c>
      <c r="L3" t="s">
        <v>39</v>
      </c>
      <c r="M3">
        <v>0</v>
      </c>
      <c r="N3">
        <v>0</v>
      </c>
      <c r="O3">
        <v>0</v>
      </c>
      <c r="P3">
        <v>0</v>
      </c>
      <c r="Q3" t="s">
        <v>39</v>
      </c>
      <c r="R3" t="s">
        <v>34</v>
      </c>
      <c r="S3">
        <v>0</v>
      </c>
    </row>
    <row r="4" spans="1:19" x14ac:dyDescent="0.25">
      <c r="A4" t="s">
        <v>9</v>
      </c>
      <c r="B4" t="s">
        <v>256</v>
      </c>
      <c r="C4" t="s">
        <v>114</v>
      </c>
      <c r="D4">
        <v>1</v>
      </c>
      <c r="E4" t="s">
        <v>257</v>
      </c>
      <c r="F4">
        <v>0</v>
      </c>
      <c r="G4">
        <v>0</v>
      </c>
      <c r="H4" s="2">
        <v>108.97</v>
      </c>
      <c r="I4">
        <v>1.1259999999999999</v>
      </c>
      <c r="J4" s="2">
        <v>1.0900000000000001</v>
      </c>
      <c r="K4" t="s">
        <v>260</v>
      </c>
      <c r="L4" t="s">
        <v>39</v>
      </c>
      <c r="M4">
        <v>0</v>
      </c>
      <c r="N4">
        <v>0</v>
      </c>
      <c r="O4">
        <v>0</v>
      </c>
      <c r="P4">
        <v>0</v>
      </c>
      <c r="Q4" t="s">
        <v>39</v>
      </c>
      <c r="R4" t="s">
        <v>34</v>
      </c>
      <c r="S4">
        <v>0</v>
      </c>
    </row>
    <row r="5" spans="1:19" x14ac:dyDescent="0.25">
      <c r="A5" t="s">
        <v>9</v>
      </c>
      <c r="B5" t="s">
        <v>256</v>
      </c>
      <c r="C5" t="s">
        <v>114</v>
      </c>
      <c r="D5">
        <v>1</v>
      </c>
      <c r="E5" t="s">
        <v>257</v>
      </c>
      <c r="F5">
        <v>0</v>
      </c>
      <c r="G5">
        <v>0</v>
      </c>
      <c r="H5" s="2">
        <v>244.76</v>
      </c>
      <c r="I5">
        <v>1</v>
      </c>
      <c r="J5" s="2">
        <v>2.4500000000000002</v>
      </c>
      <c r="K5" t="s">
        <v>260</v>
      </c>
      <c r="L5" t="s">
        <v>39</v>
      </c>
      <c r="M5">
        <v>0</v>
      </c>
      <c r="N5">
        <v>0</v>
      </c>
      <c r="O5">
        <v>0</v>
      </c>
      <c r="P5">
        <v>0</v>
      </c>
      <c r="Q5" t="s">
        <v>39</v>
      </c>
      <c r="R5" t="s">
        <v>34</v>
      </c>
      <c r="S5">
        <v>0</v>
      </c>
    </row>
    <row r="6" spans="1:19" x14ac:dyDescent="0.25">
      <c r="A6" t="s">
        <v>9</v>
      </c>
      <c r="B6" t="s">
        <v>256</v>
      </c>
      <c r="C6" t="s">
        <v>183</v>
      </c>
      <c r="D6">
        <v>15</v>
      </c>
      <c r="E6" t="s">
        <v>257</v>
      </c>
      <c r="F6">
        <v>0</v>
      </c>
      <c r="G6">
        <v>0</v>
      </c>
      <c r="H6" s="2">
        <v>274.35000000000002</v>
      </c>
      <c r="I6">
        <v>1.1200000000000001</v>
      </c>
      <c r="J6" s="2">
        <v>41.15</v>
      </c>
      <c r="K6" t="s">
        <v>260</v>
      </c>
      <c r="L6" t="s">
        <v>39</v>
      </c>
      <c r="M6">
        <v>0</v>
      </c>
      <c r="N6">
        <v>0</v>
      </c>
      <c r="O6">
        <v>0</v>
      </c>
      <c r="P6">
        <v>0</v>
      </c>
      <c r="Q6" t="s">
        <v>39</v>
      </c>
      <c r="R6" t="s">
        <v>34</v>
      </c>
      <c r="S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7" x14ac:dyDescent="0.25">
      <c r="A2" t="s">
        <v>268</v>
      </c>
      <c r="B2" s="1">
        <v>45895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 spans="1:16" x14ac:dyDescent="0.25">
      <c r="A2" t="s">
        <v>274</v>
      </c>
      <c r="B2" t="s">
        <v>275</v>
      </c>
      <c r="C2" t="s">
        <v>276</v>
      </c>
      <c r="D2" t="s">
        <v>277</v>
      </c>
      <c r="E2" t="s">
        <v>278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37</v>
      </c>
      <c r="O2" t="s">
        <v>37</v>
      </c>
      <c r="P2" t="s">
        <v>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3.140625" bestFit="1" customWidth="1"/>
    <col min="4" max="4" width="8.7109375" bestFit="1" customWidth="1"/>
    <col min="5" max="5" width="19.28515625" bestFit="1" customWidth="1"/>
    <col min="6" max="7" width="6" bestFit="1" customWidth="1"/>
    <col min="8" max="8" width="4.85546875" bestFit="1" customWidth="1"/>
    <col min="9" max="9" width="6" bestFit="1" customWidth="1"/>
    <col min="10" max="10" width="11.140625" bestFit="1" customWidth="1"/>
    <col min="11" max="11" width="11.42578125" bestFit="1" customWidth="1"/>
    <col min="12" max="12" width="8" bestFit="1" customWidth="1"/>
    <col min="13" max="13" width="23.42578125" bestFit="1" customWidth="1"/>
    <col min="14" max="14" width="11" bestFit="1" customWidth="1"/>
    <col min="15" max="15" width="26.5703125" bestFit="1" customWidth="1"/>
    <col min="16" max="16" width="14" bestFit="1" customWidth="1"/>
    <col min="17" max="17" width="17.85546875" bestFit="1" customWidth="1"/>
    <col min="18" max="18" width="16.85546875" bestFit="1" customWidth="1"/>
    <col min="19" max="19" width="10.5703125" bestFit="1" customWidth="1"/>
    <col min="20" max="20" width="29" bestFit="1" customWidth="1"/>
  </cols>
  <sheetData>
    <row r="1" spans="1:20" x14ac:dyDescent="0.25">
      <c r="A1" t="s">
        <v>59</v>
      </c>
      <c r="B1" t="s">
        <v>60</v>
      </c>
      <c r="C1" t="s">
        <v>65</v>
      </c>
      <c r="D1" t="s">
        <v>279</v>
      </c>
      <c r="E1" t="s">
        <v>76</v>
      </c>
      <c r="F1" t="s">
        <v>6</v>
      </c>
      <c r="G1" t="s">
        <v>7</v>
      </c>
      <c r="H1" t="s">
        <v>8</v>
      </c>
      <c r="I1" t="s">
        <v>9</v>
      </c>
      <c r="J1" t="s">
        <v>246</v>
      </c>
      <c r="K1" t="s">
        <v>83</v>
      </c>
      <c r="L1" t="s">
        <v>202</v>
      </c>
      <c r="M1" t="s">
        <v>280</v>
      </c>
      <c r="N1" t="s">
        <v>204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</row>
    <row r="2" spans="1:20" x14ac:dyDescent="0.25">
      <c r="A2">
        <v>5.4930000000000003</v>
      </c>
      <c r="B2">
        <v>5.4930000000000003</v>
      </c>
      <c r="C2">
        <v>1205.06</v>
      </c>
      <c r="D2" s="2">
        <v>33.65</v>
      </c>
      <c r="E2" s="2">
        <v>1171.4100000000001</v>
      </c>
      <c r="F2" s="2">
        <v>94.67</v>
      </c>
      <c r="G2" s="2">
        <v>94.67</v>
      </c>
      <c r="H2" s="2">
        <v>0</v>
      </c>
      <c r="I2" s="2">
        <v>74.59</v>
      </c>
      <c r="J2">
        <v>0</v>
      </c>
      <c r="K2" s="2">
        <v>1435.34</v>
      </c>
      <c r="L2" s="2">
        <v>37.54</v>
      </c>
      <c r="M2">
        <v>1472.88</v>
      </c>
      <c r="N2" s="2">
        <v>63.84</v>
      </c>
      <c r="O2">
        <v>1409.04</v>
      </c>
      <c r="P2">
        <v>1</v>
      </c>
      <c r="Q2" t="s">
        <v>287</v>
      </c>
      <c r="R2">
        <v>-0.04</v>
      </c>
      <c r="S2" s="2">
        <v>1409</v>
      </c>
      <c r="T2">
        <v>1409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24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22</v>
      </c>
      <c r="I1" t="s">
        <v>294</v>
      </c>
      <c r="J1" t="s">
        <v>295</v>
      </c>
      <c r="K1" t="s">
        <v>296</v>
      </c>
      <c r="L1" t="s">
        <v>297</v>
      </c>
    </row>
    <row r="2" spans="1:12" x14ac:dyDescent="0.25">
      <c r="A2" t="s">
        <v>41</v>
      </c>
      <c r="B2" t="s">
        <v>298</v>
      </c>
      <c r="C2" t="s">
        <v>299</v>
      </c>
      <c r="D2" t="s">
        <v>300</v>
      </c>
      <c r="E2" t="s">
        <v>301</v>
      </c>
      <c r="F2" t="s">
        <v>300</v>
      </c>
      <c r="G2" t="s">
        <v>302</v>
      </c>
      <c r="H2" t="s">
        <v>40</v>
      </c>
      <c r="I2" t="s">
        <v>303</v>
      </c>
      <c r="J2" t="s">
        <v>304</v>
      </c>
      <c r="K2" t="s">
        <v>34</v>
      </c>
      <c r="L2" t="s">
        <v>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24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22</v>
      </c>
      <c r="I1" t="s">
        <v>294</v>
      </c>
      <c r="J1" t="s">
        <v>295</v>
      </c>
      <c r="K1" t="s">
        <v>296</v>
      </c>
      <c r="L1" t="s">
        <v>297</v>
      </c>
    </row>
    <row r="2" spans="1:12" x14ac:dyDescent="0.25">
      <c r="A2" t="s">
        <v>41</v>
      </c>
      <c r="B2" t="s">
        <v>298</v>
      </c>
      <c r="C2" t="s">
        <v>299</v>
      </c>
      <c r="D2" t="s">
        <v>300</v>
      </c>
      <c r="E2" t="s">
        <v>301</v>
      </c>
      <c r="F2" t="s">
        <v>300</v>
      </c>
      <c r="G2" t="s">
        <v>302</v>
      </c>
      <c r="H2" t="s">
        <v>40</v>
      </c>
      <c r="I2" t="s">
        <v>303</v>
      </c>
      <c r="J2" t="s">
        <v>304</v>
      </c>
      <c r="K2" t="s">
        <v>305</v>
      </c>
      <c r="L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307</v>
      </c>
      <c r="B1" t="s">
        <v>308</v>
      </c>
      <c r="C1" t="s">
        <v>89</v>
      </c>
    </row>
    <row r="2" spans="1:3" x14ac:dyDescent="0.25">
      <c r="A2" t="s">
        <v>309</v>
      </c>
      <c r="B2" t="s">
        <v>310</v>
      </c>
      <c r="C2" t="s">
        <v>311</v>
      </c>
    </row>
    <row r="3" spans="1:3" x14ac:dyDescent="0.25">
      <c r="A3" t="s">
        <v>312</v>
      </c>
      <c r="B3" t="s">
        <v>313</v>
      </c>
      <c r="C3" t="s">
        <v>314</v>
      </c>
    </row>
    <row r="4" spans="1:3" x14ac:dyDescent="0.25">
      <c r="A4" t="s">
        <v>315</v>
      </c>
      <c r="B4" t="s">
        <v>316</v>
      </c>
      <c r="C4" t="s">
        <v>317</v>
      </c>
    </row>
    <row r="5" spans="1:3" x14ac:dyDescent="0.25">
      <c r="A5" t="s">
        <v>318</v>
      </c>
      <c r="B5" t="s">
        <v>319</v>
      </c>
      <c r="C5" t="s">
        <v>320</v>
      </c>
    </row>
    <row r="6" spans="1:3" x14ac:dyDescent="0.25">
      <c r="A6" t="s">
        <v>321</v>
      </c>
      <c r="B6" t="s">
        <v>322</v>
      </c>
      <c r="C6" t="s">
        <v>323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Tables</vt:lpstr>
      <vt:lpstr>GeneralInformation</vt:lpstr>
      <vt:lpstr>Items</vt:lpstr>
      <vt:lpstr>ChargesAndDeductions</vt:lpstr>
      <vt:lpstr>CGST</vt:lpstr>
      <vt:lpstr>SGST</vt:lpstr>
      <vt:lpstr>IGST</vt:lpstr>
      <vt:lpstr>CESS</vt:lpstr>
      <vt:lpstr>OtherInfo</vt:lpstr>
      <vt:lpstr>AdditionalInformation</vt:lpstr>
      <vt:lpstr>Summary</vt:lpstr>
      <vt:lpstr>BillingAddress</vt:lpstr>
      <vt:lpstr>ShippingAddress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2025-07-22T07:10:48Z</dcterms:created>
  <dcterms:modified xsi:type="dcterms:W3CDTF">2025-07-29T04:31:20Z</dcterms:modified>
</cp:coreProperties>
</file>
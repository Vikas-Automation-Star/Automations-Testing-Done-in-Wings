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A1FDD07C-5449-412C-8E9E-CEA050E1EE5F}" xr6:coauthVersionLast="36" xr6:coauthVersionMax="36" xr10:uidLastSave="{00000000-0000-0000-0000-000000000000}"/>
  <bookViews>
    <workbookView xWindow="0" yWindow="0" windowWidth="28800" windowHeight="12225" tabRatio="955" activeTab="3"/>
  </bookViews>
  <sheets>
    <sheet name="Tables" sheetId="1" r:id="rId1"/>
    <sheet name="GeneralInformation" sheetId="2" r:id="rId2"/>
    <sheet name="Items" sheetId="3" r:id="rId3"/>
    <sheet name="ChargesAndDeductions" sheetId="4" r:id="rId4"/>
    <sheet name="CGST" sheetId="5" r:id="rId5"/>
    <sheet name="SGST" sheetId="6" r:id="rId6"/>
    <sheet name="IGST" sheetId="7" r:id="rId7"/>
    <sheet name="CESS" sheetId="8" r:id="rId8"/>
    <sheet name="OtherInfo" sheetId="9" r:id="rId9"/>
    <sheet name="AdditionalInformation" sheetId="10" r:id="rId10"/>
    <sheet name="Summary" sheetId="11" r:id="rId11"/>
    <sheet name="BillingAddress" sheetId="12" r:id="rId12"/>
    <sheet name="ShippingAddress" sheetId="13" r:id="rId13"/>
    <sheet name="TermsAndConditions" sheetId="14" r:id="rId14"/>
    <sheet name="Allocations" sheetId="15" r:id="rId15"/>
  </sheets>
  <calcPr calcId="191029"/>
</workbook>
</file>

<file path=xl/calcChain.xml><?xml version="1.0" encoding="utf-8"?>
<calcChain xmlns="http://schemas.openxmlformats.org/spreadsheetml/2006/main">
  <c r="AL8" i="3" l="1"/>
  <c r="AK8" i="3"/>
  <c r="AJ8" i="3"/>
  <c r="AH8" i="3"/>
  <c r="AG8" i="3"/>
  <c r="AF8" i="3"/>
  <c r="AE8" i="3"/>
  <c r="AD8" i="3"/>
  <c r="Y14" i="3"/>
  <c r="V14" i="3"/>
  <c r="AD14" i="3"/>
  <c r="S14" i="3"/>
  <c r="P14" i="3"/>
  <c r="V13" i="3"/>
  <c r="S13" i="3"/>
  <c r="P13" i="3"/>
  <c r="P12" i="3"/>
  <c r="P11" i="3"/>
  <c r="P10" i="3"/>
  <c r="Y10" i="3"/>
  <c r="Y8" i="3"/>
  <c r="V8" i="3"/>
  <c r="S8" i="3"/>
  <c r="P8" i="3"/>
  <c r="N8" i="3"/>
  <c r="K8" i="3"/>
  <c r="J8" i="3"/>
  <c r="AA14" i="3"/>
  <c r="Y13" i="3"/>
  <c r="AA13" i="3"/>
  <c r="AJ14" i="3"/>
  <c r="P16" i="3"/>
  <c r="S10" i="3"/>
  <c r="S11" i="3"/>
  <c r="S12" i="3"/>
  <c r="V10" i="3"/>
  <c r="V11" i="3"/>
  <c r="V12" i="3"/>
  <c r="AD11" i="3"/>
  <c r="AD10" i="3"/>
  <c r="AD13" i="3"/>
  <c r="AK14" i="3"/>
  <c r="AA10" i="3"/>
  <c r="S16" i="3"/>
  <c r="V16" i="3"/>
  <c r="Y12" i="3"/>
  <c r="AD12" i="3"/>
  <c r="AJ12" i="3"/>
  <c r="AK12" i="3"/>
  <c r="Y11" i="3"/>
  <c r="AJ10" i="3"/>
  <c r="AD16" i="3"/>
  <c r="AJ13" i="3"/>
  <c r="AK13" i="3"/>
  <c r="Y16" i="3"/>
  <c r="AJ11" i="3"/>
  <c r="AK11" i="3"/>
  <c r="AA11" i="3"/>
  <c r="AA16" i="3"/>
  <c r="AA12" i="3"/>
  <c r="AJ16" i="3"/>
  <c r="AK10" i="3"/>
  <c r="AK16" i="3"/>
</calcChain>
</file>

<file path=xl/sharedStrings.xml><?xml version="1.0" encoding="utf-8"?>
<sst xmlns="http://schemas.openxmlformats.org/spreadsheetml/2006/main" count="655" uniqueCount="320">
  <si>
    <t>TableNames</t>
  </si>
  <si>
    <t>SheetNames</t>
  </si>
  <si>
    <t>VirtualNames</t>
  </si>
  <si>
    <t>GeneralInformation</t>
  </si>
  <si>
    <t>Items</t>
  </si>
  <si>
    <t>ChargesAndDeductions</t>
  </si>
  <si>
    <t>CGST</t>
  </si>
  <si>
    <t>SGST</t>
  </si>
  <si>
    <t>IGST</t>
  </si>
  <si>
    <t>CESS</t>
  </si>
  <si>
    <t>OtherInfo</t>
  </si>
  <si>
    <t>AdditionalInformation</t>
  </si>
  <si>
    <t>Summary</t>
  </si>
  <si>
    <t>BillingAddress</t>
  </si>
  <si>
    <t>ShippingAddress</t>
  </si>
  <si>
    <t>TermsAndConditions</t>
  </si>
  <si>
    <t>Allocations</t>
  </si>
  <si>
    <t>VoucherType</t>
  </si>
  <si>
    <t>Date</t>
  </si>
  <si>
    <t>Branch</t>
  </si>
  <si>
    <t>TransactionCurrency</t>
  </si>
  <si>
    <t>ExchangeRate</t>
  </si>
  <si>
    <t>RegistrationType</t>
  </si>
  <si>
    <t>CreateCustomer</t>
  </si>
  <si>
    <t>PartyAccountCode</t>
  </si>
  <si>
    <t>PartyAccount</t>
  </si>
  <si>
    <t>AssesseeType</t>
  </si>
  <si>
    <t>PlaceOfSupply</t>
  </si>
  <si>
    <t>GSTTransactionType</t>
  </si>
  <si>
    <t>CreditPeriod</t>
  </si>
  <si>
    <t>DueDate</t>
  </si>
  <si>
    <t>PriceList</t>
  </si>
  <si>
    <t>Executive</t>
  </si>
  <si>
    <t>ShippingAddressIsDifferentFromBillingAddress</t>
  </si>
  <si>
    <t>Remarks</t>
  </si>
  <si>
    <t>AT_SE</t>
  </si>
  <si>
    <t>AT_Branch 1_Reg</t>
  </si>
  <si>
    <t>INR</t>
  </si>
  <si>
    <t>At_Cus_Reg_Intra</t>
  </si>
  <si>
    <t>Intra State</t>
  </si>
  <si>
    <t>Intra State Sales to Registered Dealers</t>
  </si>
  <si>
    <t>AT_Exclusive Sales Price List 1</t>
  </si>
  <si>
    <t>AT_Executive 2</t>
  </si>
  <si>
    <t>0</t>
  </si>
  <si>
    <t/>
  </si>
  <si>
    <t>PVREM1</t>
  </si>
  <si>
    <t>ProductCode</t>
  </si>
  <si>
    <t>Product</t>
  </si>
  <si>
    <t>Description</t>
  </si>
  <si>
    <t>HSNCode</t>
  </si>
  <si>
    <t>GoodsOrServices</t>
  </si>
  <si>
    <t>SKU</t>
  </si>
  <si>
    <t>UOM</t>
  </si>
  <si>
    <t>ConversionFactor</t>
  </si>
  <si>
    <t>Quantity</t>
  </si>
  <si>
    <t>QuantityInSKU</t>
  </si>
  <si>
    <t>DeliveryDate</t>
  </si>
  <si>
    <t>MRP</t>
  </si>
  <si>
    <t>MRPAmount</t>
  </si>
  <si>
    <t>UnitRate</t>
  </si>
  <si>
    <t>GrossAmount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</si>
  <si>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</si>
  <si>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</si>
  <si>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</si>
  <si>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</si>
  <si>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</si>
  <si>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</si>
  <si>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</si>
  <si>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</si>
  <si>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</si>
  <si>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InclusiveTax</t>
  </si>
  <si>
    <t>HSN</t>
  </si>
  <si>
    <t>GSTProductCategory</t>
  </si>
  <si>
    <t>CESSProductCategory</t>
  </si>
  <si>
    <t>GSTAssessableValue</t>
  </si>
  <si>
    <t>GSTPercentage</t>
  </si>
  <si>
    <t>GSTAmount</t>
  </si>
  <si>
    <t>NetAmount</t>
  </si>
  <si>
    <t>NetAmountInCompanyCurrency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</si>
  <si>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</si>
  <si>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</si>
  <si>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</si>
  <si>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</si>
  <si>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</si>
  <si>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</si>
  <si>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</si>
  <si>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</si>
  <si>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</si>
  <si>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</si>
  <si>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</si>
  <si>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</si>
  <si>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</si>
  <si>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</si>
  <si>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</si>
  <si>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</si>
  <si>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</si>
  <si>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</si>
  <si>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</si>
  <si>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</si>
  <si>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</si>
  <si>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AT_Product 1</t>
  </si>
  <si>
    <t>P1</t>
  </si>
  <si>
    <t xml:space="preserve">8967            </t>
  </si>
  <si>
    <t>G</t>
  </si>
  <si>
    <t>Nos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</si>
  <si>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</si>
  <si>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</si>
  <si>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</si>
  <si>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</si>
  <si>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</si>
  <si>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</si>
  <si>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</si>
  <si>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</si>
  <si>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</si>
  <si>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</si>
  <si>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</si>
  <si>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</si>
  <si>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</si>
  <si>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INF22</t>
  </si>
  <si>
    <t>1</t>
  </si>
  <si>
    <t>AT_Product 2</t>
  </si>
  <si>
    <t>P2</t>
  </si>
  <si>
    <t>% on Gross-Disc1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</si>
  <si>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</si>
  <si>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</si>
  <si>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</si>
  <si>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</si>
  <si>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</si>
  <si>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</si>
  <si>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</si>
  <si>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</si>
  <si>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</si>
  <si>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</si>
  <si>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AT_Product 5</t>
  </si>
  <si>
    <t xml:space="preserve">1111            </t>
  </si>
  <si>
    <t>S</t>
  </si>
  <si>
    <t>% on Gross - Voucher Disc - Party Disc</t>
  </si>
  <si>
    <t>% on Gross-Disc1-V Disc-P Disc</t>
  </si>
  <si>
    <t>AT_HSN Code 3</t>
  </si>
  <si>
    <t>GST 1.5%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</si>
  <si>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</si>
  <si>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</si>
  <si>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</si>
  <si>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</si>
  <si>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</si>
  <si>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</si>
  <si>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</si>
  <si>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</si>
  <si>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</si>
  <si>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</si>
  <si>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AT_Product With SN 3</t>
  </si>
  <si>
    <t>PSN3</t>
  </si>
  <si>
    <t xml:space="preserve">5689            </t>
  </si>
  <si>
    <t>Per Quantity</t>
  </si>
  <si>
    <t>% on Gross-Disc1&amp;Disc2</t>
  </si>
  <si>
    <t>AT_HSN Code 4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</si>
  <si>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</si>
  <si>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</si>
  <si>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</si>
  <si>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</si>
  <si>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</si>
  <si>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</si>
  <si>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</si>
  <si>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</si>
  <si>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</si>
  <si>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</si>
  <si>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AT_Multi batch product 4</t>
  </si>
  <si>
    <t xml:space="preserve">3456            </t>
  </si>
  <si>
    <t>Value</t>
  </si>
  <si>
    <t>% on Gross-Disc2</t>
  </si>
  <si>
    <t>AT_HSN Code 5</t>
  </si>
  <si>
    <t>GST 28%</t>
  </si>
  <si>
    <t>CESS 15%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</si>
  <si>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</si>
  <si>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</si>
  <si>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</si>
  <si>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</si>
  <si>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</si>
  <si>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</si>
  <si>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</si>
  <si>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</si>
  <si>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</si>
  <si>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</si>
  <si>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</si>
  <si>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</si>
  <si>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</si>
  <si>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</si>
  <si>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</si>
  <si>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</si>
  <si>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</si>
  <si>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</si>
  <si>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</si>
  <si>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ChargesInCompanyCurrrency</t>
  </si>
  <si>
    <t>Deductions</t>
  </si>
  <si>
    <t>DeductionsInCompanyCurrency</t>
  </si>
  <si>
    <t>AT_Charges  Acc 1</t>
  </si>
  <si>
    <t>Gross Minus Disc</t>
  </si>
  <si>
    <t>Department 11</t>
  </si>
  <si>
    <t>Projects 11</t>
  </si>
  <si>
    <t>Profit Centre 11</t>
  </si>
  <si>
    <t>Cost Centre 11</t>
  </si>
  <si>
    <t>PVCDCMNTS1</t>
  </si>
  <si>
    <t>AT_Charges  Acc 2</t>
  </si>
  <si>
    <t>Gross Amt</t>
  </si>
  <si>
    <t>Department 14</t>
  </si>
  <si>
    <t>Projects 14</t>
  </si>
  <si>
    <t>Profit Centre 14</t>
  </si>
  <si>
    <t>Cost Centre 14</t>
  </si>
  <si>
    <t>PVCDCMNTS2</t>
  </si>
  <si>
    <t>AT_Deductions  Acc 1</t>
  </si>
  <si>
    <t>Department 13</t>
  </si>
  <si>
    <t>Projects 13</t>
  </si>
  <si>
    <t>Profit Centre 13</t>
  </si>
  <si>
    <t>Cost Centre 13</t>
  </si>
  <si>
    <t>PVCDCMNTS3</t>
  </si>
  <si>
    <t>AT_Deductions  Acc 2</t>
  </si>
  <si>
    <t>Net Amt</t>
  </si>
  <si>
    <t>Department 12</t>
  </si>
  <si>
    <t>Projects 12</t>
  </si>
  <si>
    <t>Profit Centre 12</t>
  </si>
  <si>
    <t>Cost Centre 12</t>
  </si>
  <si>
    <t>PVCDCMNTS4</t>
  </si>
  <si>
    <t>AT_Deductions  Acc 3</t>
  </si>
  <si>
    <t>NetAmount Plus Charges Minus Deductions</t>
  </si>
  <si>
    <t>Department 15</t>
  </si>
  <si>
    <t>Projects 15</t>
  </si>
  <si>
    <t>Profit Centre 15</t>
  </si>
  <si>
    <t>Cost Centre 15</t>
  </si>
  <si>
    <t>PVCDCMNTS5</t>
  </si>
  <si>
    <t>GSTSubType</t>
  </si>
  <si>
    <t>GSTSubTypeNature</t>
  </si>
  <si>
    <t>AssessableRate</t>
  </si>
  <si>
    <t>AbatementPercentage</t>
  </si>
  <si>
    <t>AbsoluteTaxAmount</t>
  </si>
  <si>
    <t>TaxAmount</t>
  </si>
  <si>
    <t>TaxAccount</t>
  </si>
  <si>
    <t>InputCreditAvailable</t>
  </si>
  <si>
    <t>InputCreditAmount</t>
  </si>
  <si>
    <t>DeferredCreditAmount</t>
  </si>
  <si>
    <t>ReverseChargeApplicable</t>
  </si>
  <si>
    <t>ExpenseAccount</t>
  </si>
  <si>
    <t>TaxAmountDue</t>
  </si>
  <si>
    <t>TaxAmountForCosting</t>
  </si>
  <si>
    <t>Base Tax</t>
  </si>
  <si>
    <t>Gross Amount Minus Discount</t>
  </si>
  <si>
    <t>CGST Output Tax Account</t>
  </si>
  <si>
    <t>SGST Output Tax Account</t>
  </si>
  <si>
    <t>GST Cess Output Tax Account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</si>
  <si>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</si>
  <si>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</si>
  <si>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</si>
  <si>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</si>
  <si>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</si>
  <si>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</si>
  <si>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</si>
  <si>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</si>
  <si>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</si>
  <si>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</si>
  <si>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</si>
  <si>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</si>
  <si>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</si>
  <si>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</si>
  <si>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</si>
  <si>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</si>
  <si>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</si>
  <si>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</si>
  <si>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</si>
  <si>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GrossMinusDiscount</t>
  </si>
  <si>
    <t>RoundOffType</t>
  </si>
  <si>
    <t>RoundOffAccount</t>
  </si>
  <si>
    <t>RoundOffAmount</t>
  </si>
  <si>
    <t>TotalValue</t>
  </si>
  <si>
    <t>TotalValueInCompanyCurrency</t>
  </si>
  <si>
    <t>Round Off Account</t>
  </si>
  <si>
    <t>GSTIN</t>
  </si>
  <si>
    <t>Address1</t>
  </si>
  <si>
    <t>Address2</t>
  </si>
  <si>
    <t>Address3</t>
  </si>
  <si>
    <t>City</t>
  </si>
  <si>
    <t>State</t>
  </si>
  <si>
    <t>StateCode</t>
  </si>
  <si>
    <t>Country</t>
  </si>
  <si>
    <t>Zip</t>
  </si>
  <si>
    <t>TelephoneNo</t>
  </si>
  <si>
    <t>MobileNo</t>
  </si>
  <si>
    <t xml:space="preserve">36AAFCB7707D1ZV </t>
  </si>
  <si>
    <t>,Plot No 11, 4th Floor</t>
  </si>
  <si>
    <t>Hyderabad</t>
  </si>
  <si>
    <t>Yashshree Tech Park, HITEC City, Hyderabad, Telangana</t>
  </si>
  <si>
    <t>Telangana</t>
  </si>
  <si>
    <t xml:space="preserve">36              </t>
  </si>
  <si>
    <t>India</t>
  </si>
  <si>
    <t>500081</t>
  </si>
  <si>
    <t>040-2894-5896</t>
  </si>
  <si>
    <t>9755884123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</si>
  <si>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</si>
  <si>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</si>
  <si>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</si>
  <si>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</si>
  <si>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</si>
  <si>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</si>
  <si>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</si>
  <si>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</si>
  <si>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</si>
  <si>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</si>
  <si>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</si>
  <si>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</si>
  <si>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</si>
  <si>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</si>
  <si>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</si>
  <si>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</si>
  <si>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</si>
  <si>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Department 1</t>
  </si>
  <si>
    <t>Project 1</t>
  </si>
  <si>
    <t>Profit Centre 1</t>
  </si>
  <si>
    <t>Cost Centre 1</t>
  </si>
  <si>
    <t>MasterType</t>
  </si>
  <si>
    <t>Products</t>
  </si>
  <si>
    <t>Products - Batches and Serial No</t>
  </si>
  <si>
    <t>Products - MultiBatch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</si>
</sst>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5"/>
  <sheetViews>
    <sheetView workbookViewId="0"/>
  </sheetViews>
  <sheetFormatPr defaultRowHeight="15" x14ac:dyDescent="0.25"/>
  <cols>
    <col min="1" max="3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"/>
  <sheetViews>
    <sheetView workbookViewId="0"/>
  </sheetViews>
  <sheetFormatPr defaultRowHeight="15" x14ac:dyDescent="0.25"/>
  <cols>
    <col min="1" max="1" width="12.7109375" bestFit="1" customWidth="1"/>
    <col min="2" max="2" width="10.140625" bestFit="1" customWidth="1"/>
    <col min="3" max="3" width="16.140625" bestFit="1" customWidth="1"/>
    <col min="4" max="4" width="19.28515625" bestFit="1" customWidth="1"/>
    <col min="5" max="5" width="13.42578125" bestFit="1" customWidth="1"/>
    <col min="6" max="6" width="16.140625" bestFit="1" customWidth="1"/>
    <col min="7" max="7" width="15.5703125" bestFit="1" customWidth="1"/>
    <col min="8" max="8" width="17.5703125" bestFit="1" customWidth="1"/>
    <col min="9" max="9" width="16.7109375" bestFit="1" customWidth="1"/>
    <col min="10" max="10" width="13.5703125" bestFit="1" customWidth="1"/>
    <col min="11" max="11" width="14" bestFit="1" customWidth="1"/>
    <col min="12" max="12" width="35.42578125" bestFit="1" customWidth="1"/>
    <col min="13" max="13" width="12.28515625" bestFit="1" customWidth="1"/>
    <col min="14" max="14" width="10.140625" bestFit="1" customWidth="1"/>
    <col min="15" max="15" width="27.7109375" bestFit="1" customWidth="1"/>
    <col min="16" max="16" width="14.42578125" bestFit="1" customWidth="1"/>
    <col min="17" max="17" width="43.85546875" bestFit="1" customWidth="1"/>
    <col min="18" max="18" width="16" bestFit="1" customWidth="1"/>
    <col min="19" max="19" width="8.5703125" bestFit="1" customWidth="1"/>
  </cols>
  <sheetData>
    <row r="1" spans="1:19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14</v>
      </c>
      <c r="S1" t="s">
        <v>34</v>
      </c>
    </row>
    <row r="2" spans="1:19" x14ac:dyDescent="0.25">
      <c r="A2" t="s">
        <v>35</v>
      </c>
      <c r="B2" s="1">
        <v>45849</v>
      </c>
      <c r="C2" t="s">
        <v>36</v>
      </c>
      <c r="D2" t="s">
        <v>37</v>
      </c>
      <c r="E2">
        <v>1</v>
      </c>
      <c r="F2">
        <v>1</v>
      </c>
      <c r="G2">
        <v>0</v>
      </c>
      <c r="H2" t="s">
        <v>38</v>
      </c>
      <c r="I2" t="s">
        <v>38</v>
      </c>
      <c r="J2">
        <v>1</v>
      </c>
      <c r="K2" t="s">
        <v>39</v>
      </c>
      <c r="L2" t="s">
        <v>40</v>
      </c>
      <c r="M2">
        <v>110</v>
      </c>
      <c r="N2" s="1">
        <v>45959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H16"/>
  <sheetViews>
    <sheetView workbookViewId="0"/>
  </sheetViews>
  <sheetFormatPr defaultRowHeight="15" x14ac:dyDescent="0.25"/>
  <cols>
    <col min="1" max="2" width="23.42578125" bestFit="1" customWidth="1"/>
    <col min="3" max="3" width="30" bestFit="1" customWidth="1"/>
    <col min="4" max="4" width="11.140625" bestFit="1" customWidth="1"/>
    <col min="5" max="5" width="10.140625" bestFit="1" customWidth="1"/>
    <col min="6" max="6" width="16.140625" bestFit="1" customWidth="1"/>
    <col min="7" max="7" width="4.42578125" bestFit="1" customWidth="1"/>
    <col min="8" max="8" width="5.42578125" bestFit="1" customWidth="1"/>
    <col min="9" max="9" width="16.5703125" bestFit="1" customWidth="1"/>
    <col min="10" max="10" width="8.7109375" bestFit="1" customWidth="1"/>
    <col min="11" max="11" width="14" bestFit="1" customWidth="1"/>
    <col min="12" max="12" width="12.5703125" bestFit="1" customWidth="1"/>
    <col min="13" max="13" width="8" bestFit="1" customWidth="1"/>
    <col min="14" max="14" width="12.140625" bestFit="1" customWidth="1"/>
    <col min="15" max="15" width="8.7109375" bestFit="1" customWidth="1"/>
    <col min="16" max="16" width="13.140625" bestFit="1" customWidth="1"/>
    <col min="17" max="17" width="34.5703125" bestFit="1" customWidth="1"/>
    <col min="18" max="18" width="9.7109375" bestFit="1" customWidth="1"/>
    <col min="19" max="19" width="17" bestFit="1" customWidth="1"/>
    <col min="20" max="20" width="28.28515625" bestFit="1" customWidth="1"/>
    <col min="21" max="21" width="9.7109375" bestFit="1" customWidth="1"/>
    <col min="22" max="22" width="17" bestFit="1" customWidth="1"/>
    <col min="23" max="23" width="28.28515625" bestFit="1" customWidth="1"/>
    <col min="24" max="24" width="9.7109375" bestFit="1" customWidth="1"/>
    <col min="25" max="25" width="17" bestFit="1" customWidth="1"/>
    <col min="26" max="26" width="11.85546875" bestFit="1" customWidth="1"/>
    <col min="27" max="27" width="14.5703125" bestFit="1" customWidth="1"/>
    <col min="28" max="28" width="19.28515625" bestFit="1" customWidth="1"/>
    <col min="29" max="29" width="20.140625" bestFit="1" customWidth="1"/>
    <col min="30" max="30" width="19.42578125" bestFit="1" customWidth="1"/>
    <col min="31" max="32" width="6" bestFit="1" customWidth="1"/>
    <col min="33" max="33" width="4.85546875" bestFit="1" customWidth="1"/>
    <col min="34" max="34" width="6" bestFit="1" customWidth="1"/>
    <col min="35" max="35" width="14.42578125" bestFit="1" customWidth="1"/>
    <col min="36" max="37" width="11.42578125" bestFit="1" customWidth="1"/>
    <col min="38" max="38" width="30" bestFit="1" customWidth="1"/>
    <col min="39" max="39" width="16.5703125" bestFit="1" customWidth="1"/>
    <col min="40" max="40" width="12" bestFit="1" customWidth="1"/>
    <col min="41" max="41" width="17.42578125" bestFit="1" customWidth="1"/>
    <col min="42" max="42" width="16.140625" bestFit="1" customWidth="1"/>
    <col min="43" max="43" width="10.5703125" bestFit="1" customWidth="1"/>
    <col min="44" max="44" width="5.5703125" bestFit="1" customWidth="1"/>
    <col min="45" max="48" width="6" bestFit="1" customWidth="1"/>
    <col min="49" max="53" width="7.140625" bestFit="1" customWidth="1"/>
    <col min="54" max="56" width="10.140625" bestFit="1" customWidth="1"/>
    <col min="57" max="59" width="6" bestFit="1" customWidth="1"/>
  </cols>
  <sheetData>
    <row r="1" spans="1:60" x14ac:dyDescent="0.25">
      <c r="A1" t="s">
        <v>46</v>
      </c>
      <c r="B1" t="s">
        <v>47</v>
      </c>
      <c r="C1" t="s">
        <v>316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6</v>
      </c>
      <c r="AF1" t="s">
        <v>7</v>
      </c>
      <c r="AG1" t="s">
        <v>8</v>
      </c>
      <c r="AH1" t="s">
        <v>9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</row>
    <row r="2" spans="1:60" x14ac:dyDescent="0.25">
      <c r="A2" t="s">
        <v>100</v>
      </c>
      <c r="B2" t="s">
        <v>100</v>
      </c>
      <c r="C2" t="s">
        <v>317</v>
      </c>
      <c r="D2" t="s">
        <v>101</v>
      </c>
      <c r="E2" t="s">
        <v>102</v>
      </c>
      <c r="F2" t="s">
        <v>103</v>
      </c>
      <c r="G2" t="s">
        <v>104</v>
      </c>
      <c r="H2" t="s">
        <v>104</v>
      </c>
      <c r="I2">
        <v>1</v>
      </c>
      <c r="J2">
        <v>1.123</v>
      </c>
      <c r="K2">
        <v>1.123</v>
      </c>
      <c r="L2" s="1">
        <v>45854</v>
      </c>
      <c r="M2">
        <v>500.11</v>
      </c>
      <c r="N2">
        <v>561.62</v>
      </c>
      <c r="O2">
        <v>250.11</v>
      </c>
      <c r="P2">
        <v>280.87</v>
      </c>
      <c r="Q2" t="s">
        <v>105</v>
      </c>
      <c r="R2">
        <v>1.02</v>
      </c>
      <c r="S2">
        <v>2.86</v>
      </c>
      <c r="T2" t="s">
        <v>105</v>
      </c>
      <c r="U2">
        <v>1.07</v>
      </c>
      <c r="V2">
        <v>3.01</v>
      </c>
      <c r="W2" t="s">
        <v>105</v>
      </c>
      <c r="X2">
        <v>1.23</v>
      </c>
      <c r="Y2">
        <v>3.45</v>
      </c>
      <c r="Z2" t="s">
        <v>43</v>
      </c>
      <c r="AA2" t="s">
        <v>106</v>
      </c>
      <c r="AB2" t="s">
        <v>107</v>
      </c>
      <c r="AC2" t="s">
        <v>108</v>
      </c>
      <c r="AD2">
        <v>271.55</v>
      </c>
      <c r="AE2">
        <v>16.29</v>
      </c>
      <c r="AF2">
        <v>16.29</v>
      </c>
      <c r="AG2">
        <v>0</v>
      </c>
      <c r="AH2">
        <v>2.72</v>
      </c>
      <c r="AI2">
        <v>12</v>
      </c>
      <c r="AJ2">
        <v>35.299999999999997</v>
      </c>
      <c r="AK2">
        <v>306.85000000000002</v>
      </c>
      <c r="AL2">
        <v>306.85000000000002</v>
      </c>
      <c r="AM2" t="s">
        <v>109</v>
      </c>
      <c r="AN2" t="s">
        <v>110</v>
      </c>
      <c r="AO2" t="s">
        <v>111</v>
      </c>
      <c r="AP2" t="s">
        <v>112</v>
      </c>
      <c r="AQ2" t="s">
        <v>113</v>
      </c>
      <c r="AR2" t="s">
        <v>114</v>
      </c>
      <c r="AS2" t="s">
        <v>115</v>
      </c>
      <c r="AT2" t="s">
        <v>116</v>
      </c>
      <c r="AU2" t="s">
        <v>117</v>
      </c>
      <c r="AV2" t="s">
        <v>118</v>
      </c>
      <c r="AW2">
        <v>1.28</v>
      </c>
      <c r="AX2">
        <v>1.34</v>
      </c>
      <c r="AY2">
        <v>1.39</v>
      </c>
      <c r="AZ2">
        <v>1.45</v>
      </c>
      <c r="BA2">
        <v>1.51</v>
      </c>
      <c r="BB2" s="1">
        <v>45850</v>
      </c>
      <c r="BC2" s="1">
        <v>45855</v>
      </c>
      <c r="BD2" s="1">
        <v>45856</v>
      </c>
      <c r="BE2" t="s">
        <v>119</v>
      </c>
      <c r="BF2" t="s">
        <v>119</v>
      </c>
      <c r="BG2" t="s">
        <v>119</v>
      </c>
    </row>
    <row r="3" spans="1:60" x14ac:dyDescent="0.25">
      <c r="A3" t="s">
        <v>120</v>
      </c>
      <c r="B3" t="s">
        <v>120</v>
      </c>
      <c r="C3" t="s">
        <v>317</v>
      </c>
      <c r="D3" t="s">
        <v>121</v>
      </c>
      <c r="E3" t="s">
        <v>102</v>
      </c>
      <c r="F3" t="s">
        <v>103</v>
      </c>
      <c r="G3" t="s">
        <v>104</v>
      </c>
      <c r="H3" t="s">
        <v>104</v>
      </c>
      <c r="I3">
        <v>1</v>
      </c>
      <c r="J3">
        <v>1.1240000000000001</v>
      </c>
      <c r="K3">
        <v>1.1240000000000001</v>
      </c>
      <c r="L3" s="1">
        <v>45855</v>
      </c>
      <c r="M3">
        <v>500.12</v>
      </c>
      <c r="N3">
        <v>562.13</v>
      </c>
      <c r="O3">
        <v>250.12</v>
      </c>
      <c r="P3">
        <v>281.13</v>
      </c>
      <c r="Q3" t="s">
        <v>105</v>
      </c>
      <c r="R3">
        <v>1.03</v>
      </c>
      <c r="S3">
        <v>2.9</v>
      </c>
      <c r="T3" t="s">
        <v>122</v>
      </c>
      <c r="U3">
        <v>1.08</v>
      </c>
      <c r="V3">
        <v>3</v>
      </c>
      <c r="W3" t="s">
        <v>122</v>
      </c>
      <c r="X3">
        <v>1.24</v>
      </c>
      <c r="Y3">
        <v>3.45</v>
      </c>
      <c r="Z3" t="s">
        <v>43</v>
      </c>
      <c r="AA3" t="s">
        <v>106</v>
      </c>
      <c r="AB3" t="s">
        <v>107</v>
      </c>
      <c r="AC3" t="s">
        <v>108</v>
      </c>
      <c r="AD3">
        <v>271.77999999999997</v>
      </c>
      <c r="AE3">
        <v>16.309999999999999</v>
      </c>
      <c r="AF3">
        <v>16.309999999999999</v>
      </c>
      <c r="AG3">
        <v>0</v>
      </c>
      <c r="AH3">
        <v>2.72</v>
      </c>
      <c r="AI3">
        <v>12</v>
      </c>
      <c r="AJ3">
        <v>35.340000000000003</v>
      </c>
      <c r="AK3">
        <v>307.12</v>
      </c>
      <c r="AL3">
        <v>307.12</v>
      </c>
      <c r="AM3" t="s">
        <v>123</v>
      </c>
      <c r="AN3" t="s">
        <v>124</v>
      </c>
      <c r="AO3" t="s">
        <v>125</v>
      </c>
      <c r="AP3" t="s">
        <v>126</v>
      </c>
      <c r="AQ3" t="s">
        <v>127</v>
      </c>
      <c r="AR3" t="s">
        <v>128</v>
      </c>
      <c r="AS3" t="s">
        <v>129</v>
      </c>
      <c r="AT3" t="s">
        <v>130</v>
      </c>
      <c r="AU3" t="s">
        <v>131</v>
      </c>
      <c r="AV3" t="s">
        <v>132</v>
      </c>
      <c r="AW3">
        <v>1.29</v>
      </c>
      <c r="AX3">
        <v>1.35</v>
      </c>
      <c r="AY3">
        <v>1.41</v>
      </c>
      <c r="AZ3">
        <v>1.46</v>
      </c>
      <c r="BA3">
        <v>1.52</v>
      </c>
      <c r="BB3" s="1">
        <v>45851</v>
      </c>
      <c r="BC3" s="1">
        <v>45857</v>
      </c>
      <c r="BD3" s="1">
        <v>45858</v>
      </c>
      <c r="BE3" t="s">
        <v>119</v>
      </c>
      <c r="BF3" t="s">
        <v>119</v>
      </c>
      <c r="BG3" t="s">
        <v>119</v>
      </c>
    </row>
    <row r="4" spans="1:60" x14ac:dyDescent="0.25">
      <c r="A4" t="s">
        <v>133</v>
      </c>
      <c r="B4" t="s">
        <v>133</v>
      </c>
      <c r="C4" t="s">
        <v>317</v>
      </c>
      <c r="D4" t="s">
        <v>44</v>
      </c>
      <c r="E4" t="s">
        <v>134</v>
      </c>
      <c r="F4" t="s">
        <v>135</v>
      </c>
      <c r="G4" t="s">
        <v>104</v>
      </c>
      <c r="H4" t="s">
        <v>104</v>
      </c>
      <c r="I4">
        <v>1</v>
      </c>
      <c r="J4">
        <v>1.1259999999999999</v>
      </c>
      <c r="K4">
        <v>1.1259999999999999</v>
      </c>
      <c r="L4" s="1">
        <v>45856</v>
      </c>
      <c r="M4">
        <v>1000.13</v>
      </c>
      <c r="N4">
        <v>1126.1500000000001</v>
      </c>
      <c r="O4">
        <v>100.13</v>
      </c>
      <c r="P4">
        <v>112.75</v>
      </c>
      <c r="Q4" t="s">
        <v>136</v>
      </c>
      <c r="R4">
        <v>1.04</v>
      </c>
      <c r="S4">
        <v>1.17</v>
      </c>
      <c r="T4" t="s">
        <v>137</v>
      </c>
      <c r="U4">
        <v>1.0900000000000001</v>
      </c>
      <c r="V4">
        <v>1.22</v>
      </c>
      <c r="W4" t="s">
        <v>137</v>
      </c>
      <c r="X4">
        <v>1.25</v>
      </c>
      <c r="Y4">
        <v>1.39</v>
      </c>
      <c r="Z4" t="s">
        <v>43</v>
      </c>
      <c r="AA4" t="s">
        <v>138</v>
      </c>
      <c r="AB4" t="s">
        <v>139</v>
      </c>
      <c r="AC4" t="s">
        <v>108</v>
      </c>
      <c r="AD4">
        <v>108.97</v>
      </c>
      <c r="AE4">
        <v>0.82</v>
      </c>
      <c r="AF4">
        <v>0.82</v>
      </c>
      <c r="AG4">
        <v>0</v>
      </c>
      <c r="AH4">
        <v>1.0900000000000001</v>
      </c>
      <c r="AI4">
        <v>1.5</v>
      </c>
      <c r="AJ4">
        <v>2.73</v>
      </c>
      <c r="AK4">
        <v>111.7</v>
      </c>
      <c r="AL4">
        <v>111.7</v>
      </c>
      <c r="AM4" t="s">
        <v>140</v>
      </c>
      <c r="AN4" t="s">
        <v>141</v>
      </c>
      <c r="AO4" t="s">
        <v>142</v>
      </c>
      <c r="AP4" t="s">
        <v>143</v>
      </c>
      <c r="AQ4" t="s">
        <v>144</v>
      </c>
      <c r="AR4" t="s">
        <v>145</v>
      </c>
      <c r="AS4" t="s">
        <v>146</v>
      </c>
      <c r="AT4" t="s">
        <v>147</v>
      </c>
      <c r="AU4" t="s">
        <v>148</v>
      </c>
      <c r="AV4" t="s">
        <v>149</v>
      </c>
      <c r="AW4">
        <v>1.31</v>
      </c>
      <c r="AX4">
        <v>1.36</v>
      </c>
      <c r="AY4">
        <v>1.42</v>
      </c>
      <c r="AZ4">
        <v>1.47</v>
      </c>
      <c r="BA4">
        <v>1.53</v>
      </c>
      <c r="BB4" s="1">
        <v>45852</v>
      </c>
      <c r="BC4" s="1">
        <v>45853</v>
      </c>
      <c r="BD4" s="1">
        <v>45854</v>
      </c>
      <c r="BE4" t="s">
        <v>119</v>
      </c>
      <c r="BF4" t="s">
        <v>119</v>
      </c>
      <c r="BG4" t="s">
        <v>119</v>
      </c>
    </row>
    <row r="5" spans="1:60" x14ac:dyDescent="0.25">
      <c r="A5" t="s">
        <v>150</v>
      </c>
      <c r="B5" t="s">
        <v>150</v>
      </c>
      <c r="C5" t="s">
        <v>318</v>
      </c>
      <c r="D5" t="s">
        <v>151</v>
      </c>
      <c r="E5" t="s">
        <v>152</v>
      </c>
      <c r="F5" t="s">
        <v>103</v>
      </c>
      <c r="G5" t="s">
        <v>104</v>
      </c>
      <c r="H5" t="s">
        <v>104</v>
      </c>
      <c r="I5">
        <v>1</v>
      </c>
      <c r="J5">
        <v>1</v>
      </c>
      <c r="K5">
        <v>1</v>
      </c>
      <c r="L5" s="1">
        <v>45857</v>
      </c>
      <c r="M5">
        <v>500.14</v>
      </c>
      <c r="N5">
        <v>500.14</v>
      </c>
      <c r="O5">
        <v>250.14</v>
      </c>
      <c r="P5">
        <v>250.14</v>
      </c>
      <c r="Q5" t="s">
        <v>153</v>
      </c>
      <c r="R5">
        <v>1.05</v>
      </c>
      <c r="S5">
        <v>1.05</v>
      </c>
      <c r="T5" t="s">
        <v>153</v>
      </c>
      <c r="U5">
        <v>1.21</v>
      </c>
      <c r="V5">
        <v>1.21</v>
      </c>
      <c r="W5" t="s">
        <v>154</v>
      </c>
      <c r="X5">
        <v>1.26</v>
      </c>
      <c r="Y5">
        <v>3.12</v>
      </c>
      <c r="Z5" t="s">
        <v>43</v>
      </c>
      <c r="AA5" t="s">
        <v>155</v>
      </c>
      <c r="AB5" t="s">
        <v>107</v>
      </c>
      <c r="AC5" t="s">
        <v>108</v>
      </c>
      <c r="AD5">
        <v>244.76</v>
      </c>
      <c r="AE5">
        <v>14.69</v>
      </c>
      <c r="AF5">
        <v>14.69</v>
      </c>
      <c r="AG5">
        <v>0</v>
      </c>
      <c r="AH5">
        <v>2.4500000000000002</v>
      </c>
      <c r="AI5">
        <v>12</v>
      </c>
      <c r="AJ5">
        <v>31.83</v>
      </c>
      <c r="AK5">
        <v>276.58999999999997</v>
      </c>
      <c r="AL5">
        <v>276.58999999999997</v>
      </c>
      <c r="AM5" t="s">
        <v>156</v>
      </c>
      <c r="AN5" t="s">
        <v>157</v>
      </c>
      <c r="AO5" t="s">
        <v>158</v>
      </c>
      <c r="AP5" t="s">
        <v>159</v>
      </c>
      <c r="AQ5" t="s">
        <v>160</v>
      </c>
      <c r="AR5" t="s">
        <v>161</v>
      </c>
      <c r="AS5" t="s">
        <v>162</v>
      </c>
      <c r="AT5" t="s">
        <v>163</v>
      </c>
      <c r="AU5" t="s">
        <v>164</v>
      </c>
      <c r="AV5" t="s">
        <v>165</v>
      </c>
      <c r="AW5">
        <v>1.32</v>
      </c>
      <c r="AX5">
        <v>1.37</v>
      </c>
      <c r="AY5">
        <v>1.43</v>
      </c>
      <c r="AZ5">
        <v>1.48</v>
      </c>
      <c r="BA5">
        <v>1.54</v>
      </c>
      <c r="BB5" s="1">
        <v>45855</v>
      </c>
      <c r="BC5" s="1">
        <v>45856</v>
      </c>
      <c r="BD5" s="1">
        <v>45857</v>
      </c>
      <c r="BE5" t="s">
        <v>119</v>
      </c>
      <c r="BF5" t="s">
        <v>119</v>
      </c>
      <c r="BG5" t="s">
        <v>119</v>
      </c>
    </row>
    <row r="6" spans="1:60" x14ac:dyDescent="0.25">
      <c r="A6" t="s">
        <v>166</v>
      </c>
      <c r="B6" t="s">
        <v>166</v>
      </c>
      <c r="C6" t="s">
        <v>319</v>
      </c>
      <c r="D6" t="s">
        <v>44</v>
      </c>
      <c r="E6" t="s">
        <v>167</v>
      </c>
      <c r="F6" t="s">
        <v>103</v>
      </c>
      <c r="G6" t="s">
        <v>104</v>
      </c>
      <c r="H6" t="s">
        <v>104</v>
      </c>
      <c r="I6">
        <v>1</v>
      </c>
      <c r="J6">
        <v>1.1200000000000001</v>
      </c>
      <c r="K6">
        <v>1.1200000000000001</v>
      </c>
      <c r="L6" s="1">
        <v>45858</v>
      </c>
      <c r="M6">
        <v>500.15</v>
      </c>
      <c r="N6">
        <v>560.16999999999996</v>
      </c>
      <c r="O6">
        <v>250.15</v>
      </c>
      <c r="P6">
        <v>280.17</v>
      </c>
      <c r="Q6" t="s">
        <v>168</v>
      </c>
      <c r="R6">
        <v>1.06</v>
      </c>
      <c r="S6">
        <v>1.06</v>
      </c>
      <c r="T6" t="s">
        <v>168</v>
      </c>
      <c r="U6">
        <v>1.22</v>
      </c>
      <c r="V6">
        <v>1.22</v>
      </c>
      <c r="W6" t="s">
        <v>169</v>
      </c>
      <c r="X6">
        <v>1.27</v>
      </c>
      <c r="Y6">
        <v>3.54</v>
      </c>
      <c r="Z6" t="s">
        <v>43</v>
      </c>
      <c r="AA6" t="s">
        <v>170</v>
      </c>
      <c r="AB6" t="s">
        <v>171</v>
      </c>
      <c r="AC6" t="s">
        <v>172</v>
      </c>
      <c r="AD6">
        <v>274.35000000000002</v>
      </c>
      <c r="AE6">
        <v>38.409999999999997</v>
      </c>
      <c r="AF6">
        <v>38.409999999999997</v>
      </c>
      <c r="AG6">
        <v>0</v>
      </c>
      <c r="AH6">
        <v>41.15</v>
      </c>
      <c r="AI6">
        <v>28</v>
      </c>
      <c r="AJ6">
        <v>117.97</v>
      </c>
      <c r="AK6">
        <v>392.32</v>
      </c>
      <c r="AL6">
        <v>392.32</v>
      </c>
      <c r="AM6" t="s">
        <v>173</v>
      </c>
      <c r="AN6" t="s">
        <v>174</v>
      </c>
      <c r="AO6" t="s">
        <v>175</v>
      </c>
      <c r="AP6" t="s">
        <v>176</v>
      </c>
      <c r="AQ6" t="s">
        <v>177</v>
      </c>
      <c r="AR6" t="s">
        <v>178</v>
      </c>
      <c r="AS6" t="s">
        <v>179</v>
      </c>
      <c r="AT6" t="s">
        <v>180</v>
      </c>
      <c r="AU6" t="s">
        <v>181</v>
      </c>
      <c r="AV6" t="s">
        <v>182</v>
      </c>
      <c r="AW6">
        <v>1.33</v>
      </c>
      <c r="AX6">
        <v>1.38</v>
      </c>
      <c r="AY6">
        <v>1.44</v>
      </c>
      <c r="AZ6">
        <v>1.49</v>
      </c>
      <c r="BA6">
        <v>1.55</v>
      </c>
      <c r="BB6" s="1">
        <v>45858</v>
      </c>
      <c r="BC6" s="1">
        <v>45859</v>
      </c>
      <c r="BD6" s="1">
        <v>45860</v>
      </c>
      <c r="BE6" t="s">
        <v>119</v>
      </c>
      <c r="BF6" t="s">
        <v>119</v>
      </c>
      <c r="BG6" t="s">
        <v>119</v>
      </c>
    </row>
    <row r="8" spans="1:60" x14ac:dyDescent="0.25">
      <c r="A8" s="2"/>
      <c r="B8" s="2"/>
      <c r="C8" s="2"/>
      <c r="D8" s="2"/>
      <c r="E8" s="2"/>
      <c r="F8" s="2"/>
      <c r="G8" s="2"/>
      <c r="H8" s="2"/>
      <c r="I8" s="2"/>
      <c r="J8" s="2">
        <f>SUM(J2:J6)</f>
        <v>5.4929999999999994</v>
      </c>
      <c r="K8" s="2">
        <f>SUM(K2:K6)</f>
        <v>5.4929999999999994</v>
      </c>
      <c r="L8" s="2"/>
      <c r="M8" s="2"/>
      <c r="N8" s="2">
        <f>SUM(N2:N6)</f>
        <v>3310.21</v>
      </c>
      <c r="O8" s="2"/>
      <c r="P8" s="2">
        <f>SUM(P2:P6)</f>
        <v>1205.06</v>
      </c>
      <c r="Q8" s="2"/>
      <c r="R8" s="2"/>
      <c r="S8" s="2">
        <f>SUM(S2:S6)</f>
        <v>9.0399999999999991</v>
      </c>
      <c r="T8" s="2"/>
      <c r="U8" s="2"/>
      <c r="V8" s="2">
        <f>SUM(V2:V6)</f>
        <v>9.66</v>
      </c>
      <c r="W8" s="2"/>
      <c r="X8" s="2"/>
      <c r="Y8" s="2">
        <f>SUM(Y2:Y6)</f>
        <v>14.95</v>
      </c>
      <c r="Z8" s="2"/>
      <c r="AA8" s="2"/>
      <c r="AB8" s="2"/>
      <c r="AC8" s="2"/>
      <c r="AD8" s="3">
        <f>SUM(AD2:AD6)</f>
        <v>1171.4099999999999</v>
      </c>
      <c r="AE8" s="3">
        <f>SUM(AE2:AE6)</f>
        <v>86.519999999999982</v>
      </c>
      <c r="AF8" s="3">
        <f>SUM(AF2:AF6)</f>
        <v>86.519999999999982</v>
      </c>
      <c r="AG8" s="3">
        <f>SUM(AG2:AG6)</f>
        <v>0</v>
      </c>
      <c r="AH8" s="3">
        <f>SUM(AH2:AH6)</f>
        <v>50.129999999999995</v>
      </c>
      <c r="AI8" s="2"/>
      <c r="AJ8" s="3">
        <f>SUM(AJ2:AJ6)</f>
        <v>223.17000000000002</v>
      </c>
      <c r="AK8" s="3">
        <f>SUM(AK2:AK6)</f>
        <v>1394.58</v>
      </c>
      <c r="AL8" s="3">
        <f>SUM(AL2:AL6)</f>
        <v>1394.58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spans="1:6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f>J2*O2</f>
        <v>280.87353000000002</v>
      </c>
      <c r="Q10" s="2"/>
      <c r="R10" s="2"/>
      <c r="S10" s="2">
        <f>$P10*R2%</f>
        <v>2.8649100060000006</v>
      </c>
      <c r="T10" s="2"/>
      <c r="U10" s="2"/>
      <c r="V10" s="2">
        <f>$P10*U2%</f>
        <v>3.0053467710000006</v>
      </c>
      <c r="W10" s="2"/>
      <c r="X10" s="2"/>
      <c r="Y10" s="2">
        <f>$P10*X2%</f>
        <v>3.4547444190000003</v>
      </c>
      <c r="Z10" s="2"/>
      <c r="AA10" s="2">
        <f>SUM(S10:Y10)</f>
        <v>9.3250011960000023</v>
      </c>
      <c r="AB10" s="2"/>
      <c r="AC10" s="2"/>
      <c r="AD10" s="2">
        <f>$P10+SUM(S10:Y10)</f>
        <v>290.19853119600003</v>
      </c>
      <c r="AE10" s="2"/>
      <c r="AF10" s="2"/>
      <c r="AG10" s="2"/>
      <c r="AH10" s="2"/>
      <c r="AI10" s="2"/>
      <c r="AJ10" s="2">
        <f>$AD10*$AI2%</f>
        <v>34.823823743520002</v>
      </c>
      <c r="AK10" s="2">
        <f>ROUND($AD10+$AJ10,2)</f>
        <v>325.02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spans="1:6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f>J3*O3</f>
        <v>281.13488000000001</v>
      </c>
      <c r="Q11" s="2"/>
      <c r="R11" s="2"/>
      <c r="S11" s="2">
        <f>$P11*R3%</f>
        <v>2.895689264</v>
      </c>
      <c r="T11" s="2"/>
      <c r="U11" s="2"/>
      <c r="V11" s="2">
        <f>($P11-$S11)*U3%</f>
        <v>3.0049832599488004</v>
      </c>
      <c r="W11" s="2"/>
      <c r="X11" s="2"/>
      <c r="Y11" s="2">
        <f>($P11-$S11)*X3%</f>
        <v>3.4501659651263998</v>
      </c>
      <c r="Z11" s="2"/>
      <c r="AA11" s="2">
        <f>SUM(S11:Y11)</f>
        <v>9.3508384890752012</v>
      </c>
      <c r="AB11" s="2"/>
      <c r="AC11" s="2"/>
      <c r="AD11" s="2">
        <f>$P11+SUM(S11:Y11)</f>
        <v>290.48571848907523</v>
      </c>
      <c r="AE11" s="2"/>
      <c r="AF11" s="2"/>
      <c r="AG11" s="2"/>
      <c r="AH11" s="2"/>
      <c r="AI11" s="2"/>
      <c r="AJ11" s="2">
        <f>$AD11*$AI3%</f>
        <v>34.858286218689024</v>
      </c>
      <c r="AK11" s="2">
        <f>ROUND($AD11+$AJ11,2)</f>
        <v>325.33999999999997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spans="1:6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f>J4*O4</f>
        <v>112.74637999999999</v>
      </c>
      <c r="Q12" s="2"/>
      <c r="R12" s="2"/>
      <c r="S12" s="2">
        <f>$P12*R4%</f>
        <v>1.1725623519999999</v>
      </c>
      <c r="T12" s="2"/>
      <c r="U12" s="2"/>
      <c r="V12" s="2">
        <f>($P12-$S12)*U4%</f>
        <v>1.2161546123631999</v>
      </c>
      <c r="W12" s="2"/>
      <c r="X12" s="2"/>
      <c r="Y12" s="2">
        <f>($P12-$S12)*X4%</f>
        <v>1.3946727206</v>
      </c>
      <c r="Z12" s="2"/>
      <c r="AA12" s="2">
        <f>SUM(S12:Y12)</f>
        <v>3.7833896849631996</v>
      </c>
      <c r="AB12" s="2"/>
      <c r="AC12" s="2"/>
      <c r="AD12" s="2">
        <f>$P12+SUM(S12:Y12)</f>
        <v>116.52976968496318</v>
      </c>
      <c r="AE12" s="2"/>
      <c r="AF12" s="2"/>
      <c r="AG12" s="2"/>
      <c r="AH12" s="2"/>
      <c r="AI12" s="2"/>
      <c r="AJ12" s="2">
        <f>$AD12*$AI4%</f>
        <v>1.7479465452744478</v>
      </c>
      <c r="AK12" s="2">
        <f>ROUND($AD12+$AJ12,2)</f>
        <v>118.28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spans="1:6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f>J5*O5</f>
        <v>250.14</v>
      </c>
      <c r="Q13" s="2"/>
      <c r="R13" s="2"/>
      <c r="S13" s="2">
        <f>R5/$J5</f>
        <v>1.05</v>
      </c>
      <c r="T13" s="2"/>
      <c r="U13" s="2"/>
      <c r="V13" s="2">
        <f>U5/$J5</f>
        <v>1.21</v>
      </c>
      <c r="W13" s="2"/>
      <c r="X13" s="2"/>
      <c r="Y13" s="2">
        <f>($P13-$S13-$V13)*X5%</f>
        <v>3.1232879999999996</v>
      </c>
      <c r="Z13" s="2"/>
      <c r="AA13" s="2">
        <f>SUM(S13:Y13)</f>
        <v>5.3832879999999994</v>
      </c>
      <c r="AB13" s="2"/>
      <c r="AC13" s="2"/>
      <c r="AD13" s="2">
        <f>$P13+SUM(S13:Y13)</f>
        <v>255.52328799999998</v>
      </c>
      <c r="AE13" s="2"/>
      <c r="AF13" s="2"/>
      <c r="AG13" s="2"/>
      <c r="AH13" s="2"/>
      <c r="AI13" s="2"/>
      <c r="AJ13" s="2">
        <f>$AD13*$AI5%</f>
        <v>30.662794559999995</v>
      </c>
      <c r="AK13" s="2">
        <f>ROUND($AD13+$AJ13,2)</f>
        <v>286.19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f>J6*O6</f>
        <v>280.16800000000001</v>
      </c>
      <c r="Q14" s="2"/>
      <c r="R14" s="2"/>
      <c r="S14" s="2">
        <f>R6</f>
        <v>1.06</v>
      </c>
      <c r="T14" s="2"/>
      <c r="U14" s="2"/>
      <c r="V14" s="2">
        <f>U6</f>
        <v>1.22</v>
      </c>
      <c r="W14" s="2"/>
      <c r="X14" s="2"/>
      <c r="Y14" s="2">
        <f>($P6-$V13)*X6%</f>
        <v>3.5427920000000004</v>
      </c>
      <c r="Z14" s="2"/>
      <c r="AA14" s="2">
        <f>SUM(S14:Y14)</f>
        <v>5.8227920000000006</v>
      </c>
      <c r="AB14" s="2"/>
      <c r="AC14" s="2"/>
      <c r="AD14" s="2">
        <f>$P14+SUM(S14:Y14)</f>
        <v>285.990792</v>
      </c>
      <c r="AE14" s="2"/>
      <c r="AF14" s="2"/>
      <c r="AG14" s="2"/>
      <c r="AH14" s="2"/>
      <c r="AI14" s="2"/>
      <c r="AJ14" s="2">
        <f>$AD14*$AI6%</f>
        <v>80.077421760000007</v>
      </c>
      <c r="AK14" s="2">
        <f>ROUND($AD14+$AJ14,2)</f>
        <v>366.07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1:6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1:6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f>SUM(P10:P14)</f>
        <v>1205.0627899999999</v>
      </c>
      <c r="Q16" s="2"/>
      <c r="R16" s="2"/>
      <c r="S16" s="2">
        <f>SUM(S10:S14)</f>
        <v>9.0431616219999995</v>
      </c>
      <c r="T16" s="2"/>
      <c r="U16" s="2"/>
      <c r="V16" s="2">
        <f>SUM(V10:V14)</f>
        <v>9.656484643312</v>
      </c>
      <c r="W16" s="2"/>
      <c r="X16" s="2"/>
      <c r="Y16" s="2">
        <f>SUM(Y10:Y14)</f>
        <v>14.965663104726401</v>
      </c>
      <c r="Z16" s="2"/>
      <c r="AA16" s="2">
        <f>SUM(AA10:AA14)</f>
        <v>33.665309370038408</v>
      </c>
      <c r="AB16" s="2"/>
      <c r="AC16" s="2"/>
      <c r="AD16" s="2">
        <f>SUM(AD10:AD14)</f>
        <v>1238.7280993700383</v>
      </c>
      <c r="AE16" s="2"/>
      <c r="AF16" s="2"/>
      <c r="AG16" s="2"/>
      <c r="AH16" s="2"/>
      <c r="AI16" s="2"/>
      <c r="AJ16" s="2">
        <f>SUM(AJ10:AJ14)</f>
        <v>182.17027282748347</v>
      </c>
      <c r="AK16" s="2">
        <f>SUM(AK10:AK14)</f>
        <v>1420.8999999999999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6"/>
  <sheetViews>
    <sheetView tabSelected="1" workbookViewId="0">
      <selection activeCell="D23" sqref="D23"/>
    </sheetView>
  </sheetViews>
  <sheetFormatPr defaultRowHeight="15" x14ac:dyDescent="0.25"/>
  <cols>
    <col min="1" max="1" width="20.42578125" bestFit="1" customWidth="1"/>
    <col min="2" max="3" width="19.85546875" bestFit="1" customWidth="1"/>
    <col min="4" max="4" width="40.28515625" bestFit="1" customWidth="1"/>
    <col min="5" max="5" width="10.5703125" bestFit="1" customWidth="1"/>
    <col min="6" max="6" width="11" bestFit="1" customWidth="1"/>
    <col min="7" max="7" width="19.28515625" bestFit="1" customWidth="1"/>
    <col min="8" max="8" width="8.140625" bestFit="1" customWidth="1"/>
    <col min="9" max="9" width="8" bestFit="1" customWidth="1"/>
    <col min="10" max="10" width="27.140625" bestFit="1" customWidth="1"/>
    <col min="11" max="11" width="11" bestFit="1" customWidth="1"/>
    <col min="12" max="12" width="29.42578125" bestFit="1" customWidth="1"/>
    <col min="13" max="13" width="14.28515625" bestFit="1" customWidth="1"/>
    <col min="14" max="14" width="10.5703125" bestFit="1" customWidth="1"/>
    <col min="15" max="15" width="15" bestFit="1" customWidth="1"/>
    <col min="16" max="16" width="13.85546875" bestFit="1" customWidth="1"/>
    <col min="17" max="17" width="13.28515625" bestFit="1" customWidth="1"/>
  </cols>
  <sheetData>
    <row r="1" spans="1:17" x14ac:dyDescent="0.25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</row>
    <row r="2" spans="1:17" x14ac:dyDescent="0.25">
      <c r="A2" t="s">
        <v>191</v>
      </c>
      <c r="B2" t="s">
        <v>195</v>
      </c>
      <c r="C2" t="s">
        <v>195</v>
      </c>
      <c r="D2" s="3" t="s">
        <v>196</v>
      </c>
      <c r="E2" s="3">
        <v>1171.4100000000001</v>
      </c>
      <c r="F2">
        <v>1.6</v>
      </c>
      <c r="G2" t="s">
        <v>43</v>
      </c>
      <c r="H2" s="3">
        <v>18.739999999999998</v>
      </c>
      <c r="I2" s="3">
        <v>18.739999999999998</v>
      </c>
      <c r="J2">
        <v>18.739999999999998</v>
      </c>
      <c r="K2">
        <v>0</v>
      </c>
      <c r="L2">
        <v>0</v>
      </c>
      <c r="M2" t="s">
        <v>197</v>
      </c>
      <c r="N2" t="s">
        <v>198</v>
      </c>
      <c r="O2" t="s">
        <v>199</v>
      </c>
      <c r="P2" t="s">
        <v>200</v>
      </c>
      <c r="Q2" t="s">
        <v>201</v>
      </c>
    </row>
    <row r="3" spans="1:17" x14ac:dyDescent="0.25">
      <c r="A3" t="s">
        <v>191</v>
      </c>
      <c r="B3" t="s">
        <v>202</v>
      </c>
      <c r="C3" t="s">
        <v>202</v>
      </c>
      <c r="D3" t="s">
        <v>203</v>
      </c>
      <c r="E3">
        <v>1205.06</v>
      </c>
      <c r="F3">
        <v>1.56</v>
      </c>
      <c r="G3" t="s">
        <v>43</v>
      </c>
      <c r="H3">
        <v>18.8</v>
      </c>
      <c r="I3">
        <v>18.8</v>
      </c>
      <c r="J3">
        <v>18.8</v>
      </c>
      <c r="K3">
        <v>0</v>
      </c>
      <c r="L3">
        <v>0</v>
      </c>
      <c r="M3" t="s">
        <v>204</v>
      </c>
      <c r="N3" t="s">
        <v>205</v>
      </c>
      <c r="O3" t="s">
        <v>206</v>
      </c>
      <c r="P3" t="s">
        <v>207</v>
      </c>
      <c r="Q3" t="s">
        <v>208</v>
      </c>
    </row>
    <row r="4" spans="1:17" x14ac:dyDescent="0.25">
      <c r="A4" t="s">
        <v>193</v>
      </c>
      <c r="B4" t="s">
        <v>209</v>
      </c>
      <c r="C4" t="s">
        <v>209</v>
      </c>
      <c r="D4" s="3" t="s">
        <v>196</v>
      </c>
      <c r="E4" s="3">
        <v>1171.4100000000001</v>
      </c>
      <c r="F4">
        <v>1.57</v>
      </c>
      <c r="G4" t="s">
        <v>43</v>
      </c>
      <c r="H4" s="3">
        <v>18.39</v>
      </c>
      <c r="I4">
        <v>0</v>
      </c>
      <c r="J4">
        <v>0</v>
      </c>
      <c r="K4" s="3">
        <v>18.39</v>
      </c>
      <c r="L4" s="3">
        <v>18.39</v>
      </c>
      <c r="M4" t="s">
        <v>210</v>
      </c>
      <c r="N4" t="s">
        <v>211</v>
      </c>
      <c r="O4" t="s">
        <v>212</v>
      </c>
      <c r="P4" t="s">
        <v>213</v>
      </c>
      <c r="Q4" t="s">
        <v>214</v>
      </c>
    </row>
    <row r="5" spans="1:17" x14ac:dyDescent="0.25">
      <c r="A5" t="s">
        <v>193</v>
      </c>
      <c r="B5" t="s">
        <v>215</v>
      </c>
      <c r="C5" t="s">
        <v>215</v>
      </c>
      <c r="D5" s="3" t="s">
        <v>216</v>
      </c>
      <c r="E5" s="3">
        <v>1394.58</v>
      </c>
      <c r="F5">
        <v>1.58</v>
      </c>
      <c r="G5" t="s">
        <v>43</v>
      </c>
      <c r="H5" s="3">
        <v>22.03</v>
      </c>
      <c r="I5">
        <v>0</v>
      </c>
      <c r="J5">
        <v>0</v>
      </c>
      <c r="K5" s="3">
        <v>22.03</v>
      </c>
      <c r="L5" s="3">
        <v>22.03</v>
      </c>
      <c r="M5" t="s">
        <v>217</v>
      </c>
      <c r="N5" t="s">
        <v>218</v>
      </c>
      <c r="O5" t="s">
        <v>219</v>
      </c>
      <c r="P5" t="s">
        <v>220</v>
      </c>
      <c r="Q5" t="s">
        <v>221</v>
      </c>
    </row>
    <row r="6" spans="1:17" x14ac:dyDescent="0.25">
      <c r="A6" t="s">
        <v>193</v>
      </c>
      <c r="B6" t="s">
        <v>222</v>
      </c>
      <c r="C6" t="s">
        <v>222</v>
      </c>
      <c r="D6" s="3" t="s">
        <v>223</v>
      </c>
      <c r="E6" s="3">
        <v>1391.7</v>
      </c>
      <c r="F6">
        <v>1.59</v>
      </c>
      <c r="G6" t="s">
        <v>43</v>
      </c>
      <c r="H6" s="3">
        <v>22.13</v>
      </c>
      <c r="I6">
        <v>0</v>
      </c>
      <c r="J6">
        <v>0</v>
      </c>
      <c r="K6" s="3">
        <v>22.13</v>
      </c>
      <c r="L6" s="3">
        <v>22.13</v>
      </c>
      <c r="M6" t="s">
        <v>224</v>
      </c>
      <c r="N6" t="s">
        <v>225</v>
      </c>
      <c r="O6" t="s">
        <v>226</v>
      </c>
      <c r="P6" t="s">
        <v>227</v>
      </c>
      <c r="Q6" t="s">
        <v>228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1.140625" bestFit="1" customWidth="1"/>
    <col min="9" max="9" width="23.5703125" bestFit="1" customWidth="1"/>
    <col min="10" max="10" width="19.7109375" bestFit="1" customWidth="1"/>
    <col min="11" max="11" width="18.5703125" bestFit="1" customWidth="1"/>
    <col min="12" max="12" width="22" bestFit="1" customWidth="1"/>
    <col min="13" max="13" width="24.140625" bestFit="1" customWidth="1"/>
    <col min="14" max="14" width="15.7109375" bestFit="1" customWidth="1"/>
    <col min="15" max="15" width="14.85546875" bestFit="1" customWidth="1"/>
    <col min="16" max="16" width="20.85546875" bestFit="1" customWidth="1"/>
  </cols>
  <sheetData>
    <row r="1" spans="1:16" x14ac:dyDescent="0.25">
      <c r="A1" t="s">
        <v>229</v>
      </c>
      <c r="B1" t="s">
        <v>230</v>
      </c>
      <c r="C1" t="s">
        <v>72</v>
      </c>
      <c r="D1" t="s">
        <v>231</v>
      </c>
      <c r="E1" t="s">
        <v>186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</row>
    <row r="2" spans="1:16" x14ac:dyDescent="0.25">
      <c r="A2" t="s">
        <v>6</v>
      </c>
      <c r="B2" t="s">
        <v>243</v>
      </c>
      <c r="C2" t="s">
        <v>107</v>
      </c>
      <c r="D2">
        <v>6</v>
      </c>
      <c r="E2" t="s">
        <v>244</v>
      </c>
      <c r="F2">
        <v>0</v>
      </c>
      <c r="G2">
        <v>0</v>
      </c>
      <c r="H2">
        <v>16.29</v>
      </c>
      <c r="I2" t="s">
        <v>245</v>
      </c>
      <c r="J2" t="s">
        <v>43</v>
      </c>
      <c r="K2">
        <v>0</v>
      </c>
      <c r="L2">
        <v>0</v>
      </c>
      <c r="M2" t="s">
        <v>43</v>
      </c>
      <c r="N2" t="s">
        <v>44</v>
      </c>
      <c r="O2">
        <v>0</v>
      </c>
      <c r="P2">
        <v>0</v>
      </c>
    </row>
    <row r="3" spans="1:16" x14ac:dyDescent="0.25">
      <c r="A3" t="s">
        <v>6</v>
      </c>
      <c r="B3" t="s">
        <v>243</v>
      </c>
      <c r="C3" t="s">
        <v>107</v>
      </c>
      <c r="D3">
        <v>6</v>
      </c>
      <c r="E3" t="s">
        <v>244</v>
      </c>
      <c r="F3">
        <v>0</v>
      </c>
      <c r="G3">
        <v>0</v>
      </c>
      <c r="H3">
        <v>16.309999999999999</v>
      </c>
      <c r="I3" t="s">
        <v>245</v>
      </c>
      <c r="J3" t="s">
        <v>43</v>
      </c>
      <c r="K3">
        <v>0</v>
      </c>
      <c r="L3">
        <v>0</v>
      </c>
      <c r="M3" t="s">
        <v>43</v>
      </c>
      <c r="N3" t="s">
        <v>44</v>
      </c>
      <c r="O3">
        <v>0</v>
      </c>
      <c r="P3">
        <v>0</v>
      </c>
    </row>
    <row r="4" spans="1:16" x14ac:dyDescent="0.25">
      <c r="A4" t="s">
        <v>6</v>
      </c>
      <c r="B4" t="s">
        <v>243</v>
      </c>
      <c r="C4" t="s">
        <v>139</v>
      </c>
      <c r="D4">
        <v>0.75</v>
      </c>
      <c r="E4" t="s">
        <v>244</v>
      </c>
      <c r="F4">
        <v>0</v>
      </c>
      <c r="G4">
        <v>0</v>
      </c>
      <c r="H4" s="3">
        <v>0.82</v>
      </c>
      <c r="I4" t="s">
        <v>245</v>
      </c>
      <c r="J4" t="s">
        <v>43</v>
      </c>
      <c r="K4">
        <v>0</v>
      </c>
      <c r="L4">
        <v>0</v>
      </c>
      <c r="M4" t="s">
        <v>43</v>
      </c>
      <c r="N4" t="s">
        <v>44</v>
      </c>
      <c r="O4">
        <v>0</v>
      </c>
      <c r="P4">
        <v>0</v>
      </c>
    </row>
    <row r="5" spans="1:16" x14ac:dyDescent="0.25">
      <c r="A5" t="s">
        <v>6</v>
      </c>
      <c r="B5" t="s">
        <v>243</v>
      </c>
      <c r="C5" t="s">
        <v>107</v>
      </c>
      <c r="D5">
        <v>6</v>
      </c>
      <c r="E5" t="s">
        <v>244</v>
      </c>
      <c r="F5">
        <v>0</v>
      </c>
      <c r="G5">
        <v>0</v>
      </c>
      <c r="H5">
        <v>14.69</v>
      </c>
      <c r="I5" t="s">
        <v>245</v>
      </c>
      <c r="J5" t="s">
        <v>43</v>
      </c>
      <c r="K5">
        <v>0</v>
      </c>
      <c r="L5">
        <v>0</v>
      </c>
      <c r="M5" t="s">
        <v>43</v>
      </c>
      <c r="N5" t="s">
        <v>44</v>
      </c>
      <c r="O5">
        <v>0</v>
      </c>
      <c r="P5">
        <v>0</v>
      </c>
    </row>
    <row r="6" spans="1:16" x14ac:dyDescent="0.25">
      <c r="A6" t="s">
        <v>6</v>
      </c>
      <c r="B6" t="s">
        <v>243</v>
      </c>
      <c r="C6" t="s">
        <v>171</v>
      </c>
      <c r="D6">
        <v>14</v>
      </c>
      <c r="E6" t="s">
        <v>244</v>
      </c>
      <c r="F6">
        <v>0</v>
      </c>
      <c r="G6">
        <v>0</v>
      </c>
      <c r="H6">
        <v>38.409999999999997</v>
      </c>
      <c r="I6" t="s">
        <v>245</v>
      </c>
      <c r="J6" t="s">
        <v>43</v>
      </c>
      <c r="K6">
        <v>0</v>
      </c>
      <c r="L6">
        <v>0</v>
      </c>
      <c r="M6" t="s">
        <v>43</v>
      </c>
      <c r="N6" t="s">
        <v>44</v>
      </c>
      <c r="O6">
        <v>0</v>
      </c>
      <c r="P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1.140625" bestFit="1" customWidth="1"/>
    <col min="9" max="9" width="23.42578125" bestFit="1" customWidth="1"/>
    <col min="10" max="10" width="19.7109375" bestFit="1" customWidth="1"/>
    <col min="11" max="11" width="18.5703125" bestFit="1" customWidth="1"/>
    <col min="12" max="12" width="22" bestFit="1" customWidth="1"/>
    <col min="13" max="13" width="24.140625" bestFit="1" customWidth="1"/>
    <col min="14" max="14" width="15.7109375" bestFit="1" customWidth="1"/>
    <col min="15" max="15" width="14.85546875" bestFit="1" customWidth="1"/>
    <col min="16" max="16" width="20.85546875" bestFit="1" customWidth="1"/>
  </cols>
  <sheetData>
    <row r="1" spans="1:16" x14ac:dyDescent="0.25">
      <c r="A1" t="s">
        <v>229</v>
      </c>
      <c r="B1" t="s">
        <v>230</v>
      </c>
      <c r="C1" t="s">
        <v>72</v>
      </c>
      <c r="D1" t="s">
        <v>231</v>
      </c>
      <c r="E1" t="s">
        <v>186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</row>
    <row r="2" spans="1:16" x14ac:dyDescent="0.25">
      <c r="A2" t="s">
        <v>7</v>
      </c>
      <c r="B2" t="s">
        <v>243</v>
      </c>
      <c r="C2" t="s">
        <v>107</v>
      </c>
      <c r="D2">
        <v>6</v>
      </c>
      <c r="E2" t="s">
        <v>244</v>
      </c>
      <c r="F2">
        <v>0</v>
      </c>
      <c r="G2">
        <v>0</v>
      </c>
      <c r="H2">
        <v>16.29</v>
      </c>
      <c r="I2" t="s">
        <v>246</v>
      </c>
      <c r="J2" t="s">
        <v>43</v>
      </c>
      <c r="K2">
        <v>0</v>
      </c>
      <c r="L2">
        <v>0</v>
      </c>
      <c r="M2" t="s">
        <v>43</v>
      </c>
      <c r="N2" t="s">
        <v>44</v>
      </c>
      <c r="O2">
        <v>0</v>
      </c>
      <c r="P2">
        <v>0</v>
      </c>
    </row>
    <row r="3" spans="1:16" x14ac:dyDescent="0.25">
      <c r="A3" t="s">
        <v>7</v>
      </c>
      <c r="B3" t="s">
        <v>243</v>
      </c>
      <c r="C3" t="s">
        <v>107</v>
      </c>
      <c r="D3">
        <v>6</v>
      </c>
      <c r="E3" t="s">
        <v>244</v>
      </c>
      <c r="F3">
        <v>0</v>
      </c>
      <c r="G3">
        <v>0</v>
      </c>
      <c r="H3">
        <v>16.309999999999999</v>
      </c>
      <c r="I3" t="s">
        <v>246</v>
      </c>
      <c r="J3" t="s">
        <v>43</v>
      </c>
      <c r="K3">
        <v>0</v>
      </c>
      <c r="L3">
        <v>0</v>
      </c>
      <c r="M3" t="s">
        <v>43</v>
      </c>
      <c r="N3" t="s">
        <v>44</v>
      </c>
      <c r="O3">
        <v>0</v>
      </c>
      <c r="P3">
        <v>0</v>
      </c>
    </row>
    <row r="4" spans="1:16" x14ac:dyDescent="0.25">
      <c r="A4" t="s">
        <v>7</v>
      </c>
      <c r="B4" t="s">
        <v>243</v>
      </c>
      <c r="C4" t="s">
        <v>139</v>
      </c>
      <c r="D4">
        <v>0.75</v>
      </c>
      <c r="E4" t="s">
        <v>244</v>
      </c>
      <c r="F4">
        <v>0</v>
      </c>
      <c r="G4">
        <v>0</v>
      </c>
      <c r="H4" s="3">
        <v>0.82</v>
      </c>
      <c r="I4" t="s">
        <v>246</v>
      </c>
      <c r="J4" t="s">
        <v>43</v>
      </c>
      <c r="K4">
        <v>0</v>
      </c>
      <c r="L4">
        <v>0</v>
      </c>
      <c r="M4" t="s">
        <v>43</v>
      </c>
      <c r="N4" t="s">
        <v>44</v>
      </c>
      <c r="O4">
        <v>0</v>
      </c>
      <c r="P4">
        <v>0</v>
      </c>
    </row>
    <row r="5" spans="1:16" x14ac:dyDescent="0.25">
      <c r="A5" t="s">
        <v>7</v>
      </c>
      <c r="B5" t="s">
        <v>243</v>
      </c>
      <c r="C5" t="s">
        <v>107</v>
      </c>
      <c r="D5">
        <v>6</v>
      </c>
      <c r="E5" t="s">
        <v>244</v>
      </c>
      <c r="F5">
        <v>0</v>
      </c>
      <c r="G5">
        <v>0</v>
      </c>
      <c r="H5">
        <v>14.69</v>
      </c>
      <c r="I5" t="s">
        <v>246</v>
      </c>
      <c r="J5" t="s">
        <v>43</v>
      </c>
      <c r="K5">
        <v>0</v>
      </c>
      <c r="L5">
        <v>0</v>
      </c>
      <c r="M5" t="s">
        <v>43</v>
      </c>
      <c r="N5" t="s">
        <v>44</v>
      </c>
      <c r="O5">
        <v>0</v>
      </c>
      <c r="P5">
        <v>0</v>
      </c>
    </row>
    <row r="6" spans="1:16" x14ac:dyDescent="0.25">
      <c r="A6" t="s">
        <v>7</v>
      </c>
      <c r="B6" t="s">
        <v>243</v>
      </c>
      <c r="C6" t="s">
        <v>171</v>
      </c>
      <c r="D6">
        <v>14</v>
      </c>
      <c r="E6" t="s">
        <v>244</v>
      </c>
      <c r="F6">
        <v>0</v>
      </c>
      <c r="G6">
        <v>0</v>
      </c>
      <c r="H6">
        <v>38.409999999999997</v>
      </c>
      <c r="I6" t="s">
        <v>246</v>
      </c>
      <c r="J6" t="s">
        <v>43</v>
      </c>
      <c r="K6">
        <v>0</v>
      </c>
      <c r="L6">
        <v>0</v>
      </c>
      <c r="M6" t="s">
        <v>43</v>
      </c>
      <c r="N6" t="s">
        <v>44</v>
      </c>
      <c r="O6">
        <v>0</v>
      </c>
      <c r="P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9" width="11.140625" bestFit="1" customWidth="1"/>
    <col min="10" max="10" width="19.7109375" bestFit="1" customWidth="1"/>
    <col min="11" max="11" width="18.5703125" bestFit="1" customWidth="1"/>
    <col min="12" max="12" width="22" bestFit="1" customWidth="1"/>
    <col min="13" max="13" width="24.140625" bestFit="1" customWidth="1"/>
    <col min="14" max="14" width="15.7109375" bestFit="1" customWidth="1"/>
    <col min="15" max="15" width="14.85546875" bestFit="1" customWidth="1"/>
    <col min="16" max="16" width="20.85546875" bestFit="1" customWidth="1"/>
  </cols>
  <sheetData>
    <row r="1" spans="1:16" x14ac:dyDescent="0.25">
      <c r="A1" t="s">
        <v>229</v>
      </c>
      <c r="B1" t="s">
        <v>230</v>
      </c>
      <c r="C1" t="s">
        <v>72</v>
      </c>
      <c r="D1" t="s">
        <v>231</v>
      </c>
      <c r="E1" t="s">
        <v>186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1.140625" bestFit="1" customWidth="1"/>
    <col min="9" max="9" width="27" bestFit="1" customWidth="1"/>
    <col min="10" max="10" width="19.7109375" bestFit="1" customWidth="1"/>
    <col min="11" max="11" width="18.5703125" bestFit="1" customWidth="1"/>
    <col min="12" max="12" width="22" bestFit="1" customWidth="1"/>
    <col min="13" max="13" width="24.140625" bestFit="1" customWidth="1"/>
    <col min="14" max="14" width="15.7109375" bestFit="1" customWidth="1"/>
    <col min="15" max="15" width="14.85546875" bestFit="1" customWidth="1"/>
    <col min="16" max="16" width="20.85546875" bestFit="1" customWidth="1"/>
  </cols>
  <sheetData>
    <row r="1" spans="1:16" x14ac:dyDescent="0.25">
      <c r="A1" t="s">
        <v>229</v>
      </c>
      <c r="B1" t="s">
        <v>230</v>
      </c>
      <c r="C1" t="s">
        <v>72</v>
      </c>
      <c r="D1" t="s">
        <v>231</v>
      </c>
      <c r="E1" t="s">
        <v>186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</row>
    <row r="2" spans="1:16" x14ac:dyDescent="0.25">
      <c r="A2" t="s">
        <v>9</v>
      </c>
      <c r="B2" t="s">
        <v>243</v>
      </c>
      <c r="C2" t="s">
        <v>108</v>
      </c>
      <c r="D2">
        <v>1</v>
      </c>
      <c r="E2" t="s">
        <v>244</v>
      </c>
      <c r="F2">
        <v>0</v>
      </c>
      <c r="G2">
        <v>0</v>
      </c>
      <c r="H2">
        <v>2.72</v>
      </c>
      <c r="I2" t="s">
        <v>247</v>
      </c>
      <c r="J2" t="s">
        <v>43</v>
      </c>
      <c r="K2">
        <v>0</v>
      </c>
      <c r="L2">
        <v>0</v>
      </c>
      <c r="M2" t="s">
        <v>43</v>
      </c>
      <c r="N2" t="s">
        <v>44</v>
      </c>
      <c r="O2">
        <v>0</v>
      </c>
      <c r="P2">
        <v>0</v>
      </c>
    </row>
    <row r="3" spans="1:16" x14ac:dyDescent="0.25">
      <c r="A3" t="s">
        <v>9</v>
      </c>
      <c r="B3" t="s">
        <v>243</v>
      </c>
      <c r="C3" t="s">
        <v>108</v>
      </c>
      <c r="D3">
        <v>1</v>
      </c>
      <c r="E3" t="s">
        <v>244</v>
      </c>
      <c r="F3">
        <v>0</v>
      </c>
      <c r="G3">
        <v>0</v>
      </c>
      <c r="H3">
        <v>2.72</v>
      </c>
      <c r="I3" t="s">
        <v>247</v>
      </c>
      <c r="J3" t="s">
        <v>43</v>
      </c>
      <c r="K3">
        <v>0</v>
      </c>
      <c r="L3">
        <v>0</v>
      </c>
      <c r="M3" t="s">
        <v>43</v>
      </c>
      <c r="N3" t="s">
        <v>44</v>
      </c>
      <c r="O3">
        <v>0</v>
      </c>
      <c r="P3">
        <v>0</v>
      </c>
    </row>
    <row r="4" spans="1:16" x14ac:dyDescent="0.25">
      <c r="A4" t="s">
        <v>9</v>
      </c>
      <c r="B4" t="s">
        <v>243</v>
      </c>
      <c r="C4" t="s">
        <v>108</v>
      </c>
      <c r="D4">
        <v>1</v>
      </c>
      <c r="E4" t="s">
        <v>244</v>
      </c>
      <c r="F4">
        <v>0</v>
      </c>
      <c r="G4">
        <v>0</v>
      </c>
      <c r="H4" s="3">
        <v>1.0900000000000001</v>
      </c>
      <c r="I4" t="s">
        <v>247</v>
      </c>
      <c r="J4" t="s">
        <v>43</v>
      </c>
      <c r="K4">
        <v>0</v>
      </c>
      <c r="L4">
        <v>0</v>
      </c>
      <c r="M4" t="s">
        <v>43</v>
      </c>
      <c r="N4" t="s">
        <v>44</v>
      </c>
      <c r="O4">
        <v>0</v>
      </c>
      <c r="P4">
        <v>0</v>
      </c>
    </row>
    <row r="5" spans="1:16" x14ac:dyDescent="0.25">
      <c r="A5" t="s">
        <v>9</v>
      </c>
      <c r="B5" t="s">
        <v>243</v>
      </c>
      <c r="C5" t="s">
        <v>108</v>
      </c>
      <c r="D5">
        <v>1</v>
      </c>
      <c r="E5" t="s">
        <v>244</v>
      </c>
      <c r="F5">
        <v>0</v>
      </c>
      <c r="G5">
        <v>0</v>
      </c>
      <c r="H5">
        <v>2.4500000000000002</v>
      </c>
      <c r="I5" t="s">
        <v>247</v>
      </c>
      <c r="J5" t="s">
        <v>43</v>
      </c>
      <c r="K5">
        <v>0</v>
      </c>
      <c r="L5">
        <v>0</v>
      </c>
      <c r="M5" t="s">
        <v>43</v>
      </c>
      <c r="N5" t="s">
        <v>44</v>
      </c>
      <c r="O5">
        <v>0</v>
      </c>
      <c r="P5">
        <v>0</v>
      </c>
    </row>
    <row r="6" spans="1:16" x14ac:dyDescent="0.25">
      <c r="A6" t="s">
        <v>9</v>
      </c>
      <c r="B6" t="s">
        <v>243</v>
      </c>
      <c r="C6" t="s">
        <v>172</v>
      </c>
      <c r="D6">
        <v>15</v>
      </c>
      <c r="E6" t="s">
        <v>244</v>
      </c>
      <c r="F6">
        <v>0</v>
      </c>
      <c r="G6">
        <v>0</v>
      </c>
      <c r="H6">
        <v>41.15</v>
      </c>
      <c r="I6" t="s">
        <v>247</v>
      </c>
      <c r="J6" t="s">
        <v>43</v>
      </c>
      <c r="K6">
        <v>0</v>
      </c>
      <c r="L6">
        <v>0</v>
      </c>
      <c r="M6" t="s">
        <v>43</v>
      </c>
      <c r="N6" t="s">
        <v>44</v>
      </c>
      <c r="O6">
        <v>0</v>
      </c>
      <c r="P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248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</row>
    <row r="2" spans="1:7" x14ac:dyDescent="0.25">
      <c r="A2" t="s">
        <v>255</v>
      </c>
      <c r="B2" s="1">
        <v>45895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</row>
    <row r="2" spans="1:16" x14ac:dyDescent="0.25">
      <c r="A2" t="s">
        <v>261</v>
      </c>
      <c r="B2" t="s">
        <v>262</v>
      </c>
      <c r="C2" t="s">
        <v>263</v>
      </c>
      <c r="D2" t="s">
        <v>264</v>
      </c>
      <c r="E2" t="s">
        <v>265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119</v>
      </c>
      <c r="O2" t="s">
        <v>119</v>
      </c>
      <c r="P2" t="s">
        <v>119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2"/>
  <sheetViews>
    <sheetView workbookViewId="0"/>
  </sheetViews>
  <sheetFormatPr defaultRowHeight="15" x14ac:dyDescent="0.25"/>
  <cols>
    <col min="1" max="1" width="8.7109375" bestFit="1" customWidth="1"/>
    <col min="2" max="2" width="14" bestFit="1" customWidth="1"/>
    <col min="3" max="3" width="13.140625" bestFit="1" customWidth="1"/>
    <col min="4" max="4" width="8.7109375" bestFit="1" customWidth="1"/>
    <col min="5" max="5" width="19.28515625" bestFit="1" customWidth="1"/>
    <col min="6" max="7" width="6" bestFit="1" customWidth="1"/>
    <col min="8" max="8" width="4.85546875" bestFit="1" customWidth="1"/>
    <col min="9" max="9" width="6" bestFit="1" customWidth="1"/>
    <col min="10" max="10" width="11.42578125" bestFit="1" customWidth="1"/>
    <col min="11" max="11" width="8" bestFit="1" customWidth="1"/>
    <col min="12" max="12" width="11" bestFit="1" customWidth="1"/>
    <col min="13" max="13" width="14" bestFit="1" customWidth="1"/>
    <col min="14" max="14" width="17.85546875" bestFit="1" customWidth="1"/>
    <col min="15" max="15" width="16.85546875" bestFit="1" customWidth="1"/>
    <col min="16" max="16" width="10.5703125" bestFit="1" customWidth="1"/>
    <col min="17" max="17" width="29" bestFit="1" customWidth="1"/>
  </cols>
  <sheetData>
    <row r="1" spans="1:17" x14ac:dyDescent="0.25">
      <c r="A1" t="s">
        <v>54</v>
      </c>
      <c r="B1" t="s">
        <v>55</v>
      </c>
      <c r="C1" t="s">
        <v>60</v>
      </c>
      <c r="D1" t="s">
        <v>266</v>
      </c>
      <c r="E1" t="s">
        <v>267</v>
      </c>
      <c r="F1" t="s">
        <v>6</v>
      </c>
      <c r="G1" t="s">
        <v>7</v>
      </c>
      <c r="H1" t="s">
        <v>8</v>
      </c>
      <c r="I1" t="s">
        <v>9</v>
      </c>
      <c r="J1" t="s">
        <v>77</v>
      </c>
      <c r="K1" t="s">
        <v>191</v>
      </c>
      <c r="L1" t="s">
        <v>193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</row>
    <row r="2" spans="1:17" x14ac:dyDescent="0.25">
      <c r="A2">
        <v>5.4930000000000003</v>
      </c>
      <c r="B2">
        <v>5.4930000000000003</v>
      </c>
      <c r="C2">
        <v>1205.06</v>
      </c>
      <c r="D2" s="3">
        <v>33.65</v>
      </c>
      <c r="E2" s="3">
        <v>1171.4100000000001</v>
      </c>
      <c r="F2" s="3">
        <v>86.52</v>
      </c>
      <c r="G2" s="3">
        <v>86.52</v>
      </c>
      <c r="H2" s="3">
        <v>0</v>
      </c>
      <c r="I2" s="3">
        <v>50.13</v>
      </c>
      <c r="J2" s="3">
        <v>1394.58</v>
      </c>
      <c r="K2" s="3">
        <v>37.54</v>
      </c>
      <c r="L2" s="3">
        <v>62.55</v>
      </c>
      <c r="M2">
        <v>1</v>
      </c>
      <c r="N2" t="s">
        <v>273</v>
      </c>
      <c r="O2">
        <v>0.43</v>
      </c>
      <c r="P2" s="3">
        <v>1370</v>
      </c>
      <c r="Q2" s="3">
        <v>1370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1" max="1" width="16.7109375" bestFit="1" customWidth="1"/>
    <col min="2" max="2" width="18.140625" bestFit="1" customWidth="1"/>
    <col min="3" max="3" width="19.7109375" bestFit="1" customWidth="1"/>
    <col min="4" max="4" width="10.5703125" bestFit="1" customWidth="1"/>
    <col min="5" max="5" width="50.7109375" bestFit="1" customWidth="1"/>
    <col min="6" max="6" width="10.5703125" bestFit="1" customWidth="1"/>
    <col min="7" max="7" width="10" bestFit="1" customWidth="1"/>
    <col min="8" max="8" width="10.140625" bestFit="1" customWidth="1"/>
    <col min="9" max="9" width="8" bestFit="1" customWidth="1"/>
    <col min="10" max="10" width="7" bestFit="1" customWidth="1"/>
    <col min="11" max="11" width="13.28515625" bestFit="1" customWidth="1"/>
    <col min="12" max="12" width="9.85546875" bestFit="1" customWidth="1"/>
  </cols>
  <sheetData>
    <row r="1" spans="1:12" x14ac:dyDescent="0.25">
      <c r="A1" t="s">
        <v>25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  <c r="I1" t="s">
        <v>281</v>
      </c>
      <c r="J1" t="s">
        <v>282</v>
      </c>
      <c r="K1" t="s">
        <v>283</v>
      </c>
      <c r="L1" t="s">
        <v>284</v>
      </c>
    </row>
    <row r="2" spans="1:12" x14ac:dyDescent="0.25">
      <c r="A2" t="s">
        <v>38</v>
      </c>
      <c r="B2" t="s">
        <v>285</v>
      </c>
      <c r="C2" t="s">
        <v>286</v>
      </c>
      <c r="D2" t="s">
        <v>287</v>
      </c>
      <c r="E2" t="s">
        <v>288</v>
      </c>
      <c r="F2" t="s">
        <v>287</v>
      </c>
      <c r="G2" t="s">
        <v>289</v>
      </c>
      <c r="H2" t="s">
        <v>290</v>
      </c>
      <c r="I2" t="s">
        <v>291</v>
      </c>
      <c r="J2" t="s">
        <v>292</v>
      </c>
      <c r="K2" t="s">
        <v>44</v>
      </c>
      <c r="L2" t="s">
        <v>44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1" max="1" width="16.7109375" bestFit="1" customWidth="1"/>
    <col min="2" max="2" width="18.140625" bestFit="1" customWidth="1"/>
    <col min="3" max="3" width="19.7109375" bestFit="1" customWidth="1"/>
    <col min="4" max="4" width="10.5703125" bestFit="1" customWidth="1"/>
    <col min="5" max="5" width="50.7109375" bestFit="1" customWidth="1"/>
    <col min="6" max="6" width="10.5703125" bestFit="1" customWidth="1"/>
    <col min="7" max="7" width="10" bestFit="1" customWidth="1"/>
    <col min="8" max="8" width="10.140625" bestFit="1" customWidth="1"/>
    <col min="9" max="9" width="8" bestFit="1" customWidth="1"/>
    <col min="10" max="10" width="7" bestFit="1" customWidth="1"/>
    <col min="11" max="11" width="13.5703125" bestFit="1" customWidth="1"/>
    <col min="12" max="12" width="11" bestFit="1" customWidth="1"/>
  </cols>
  <sheetData>
    <row r="1" spans="1:12" x14ac:dyDescent="0.25">
      <c r="A1" t="s">
        <v>25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  <c r="I1" t="s">
        <v>281</v>
      </c>
      <c r="J1" t="s">
        <v>282</v>
      </c>
      <c r="K1" t="s">
        <v>283</v>
      </c>
      <c r="L1" t="s">
        <v>284</v>
      </c>
    </row>
    <row r="2" spans="1:12" x14ac:dyDescent="0.25">
      <c r="A2" t="s">
        <v>38</v>
      </c>
      <c r="B2" t="s">
        <v>285</v>
      </c>
      <c r="C2" t="s">
        <v>286</v>
      </c>
      <c r="D2" t="s">
        <v>287</v>
      </c>
      <c r="E2" t="s">
        <v>288</v>
      </c>
      <c r="F2" t="s">
        <v>287</v>
      </c>
      <c r="G2" t="s">
        <v>289</v>
      </c>
      <c r="H2" t="s">
        <v>290</v>
      </c>
      <c r="I2" t="s">
        <v>291</v>
      </c>
      <c r="J2" t="s">
        <v>292</v>
      </c>
      <c r="K2" t="s">
        <v>293</v>
      </c>
      <c r="L2" t="s">
        <v>294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295</v>
      </c>
      <c r="B1" t="s">
        <v>296</v>
      </c>
      <c r="C1" t="s">
        <v>83</v>
      </c>
    </row>
    <row r="2" spans="1:3" x14ac:dyDescent="0.25">
      <c r="A2" t="s">
        <v>297</v>
      </c>
      <c r="B2" t="s">
        <v>298</v>
      </c>
      <c r="C2" t="s">
        <v>299</v>
      </c>
    </row>
    <row r="3" spans="1:3" x14ac:dyDescent="0.25">
      <c r="A3" t="s">
        <v>300</v>
      </c>
      <c r="B3" t="s">
        <v>301</v>
      </c>
      <c r="C3" t="s">
        <v>302</v>
      </c>
    </row>
    <row r="4" spans="1:3" x14ac:dyDescent="0.25">
      <c r="A4" t="s">
        <v>303</v>
      </c>
      <c r="B4" t="s">
        <v>304</v>
      </c>
      <c r="C4" t="s">
        <v>305</v>
      </c>
    </row>
    <row r="5" spans="1:3" x14ac:dyDescent="0.25">
      <c r="A5" t="s">
        <v>306</v>
      </c>
      <c r="B5" t="s">
        <v>307</v>
      </c>
      <c r="C5" t="s">
        <v>308</v>
      </c>
    </row>
    <row r="6" spans="1:3" x14ac:dyDescent="0.25">
      <c r="A6" t="s">
        <v>309</v>
      </c>
      <c r="B6" t="s">
        <v>310</v>
      </c>
      <c r="C6" t="s">
        <v>311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1" width="13.28515625" bestFit="1" customWidth="1"/>
    <col min="2" max="2" width="8.7109375" bestFit="1" customWidth="1"/>
    <col min="3" max="3" width="14" bestFit="1" customWidth="1"/>
    <col min="4" max="4" width="12.7109375" bestFit="1" customWidth="1"/>
  </cols>
  <sheetData>
    <row r="1" spans="1:4" x14ac:dyDescent="0.25">
      <c r="A1" t="s">
        <v>79</v>
      </c>
      <c r="B1" t="s">
        <v>80</v>
      </c>
      <c r="C1" t="s">
        <v>81</v>
      </c>
      <c r="D1" t="s">
        <v>82</v>
      </c>
    </row>
    <row r="2" spans="1:4" x14ac:dyDescent="0.25">
      <c r="A2" t="s">
        <v>312</v>
      </c>
      <c r="B2" t="s">
        <v>313</v>
      </c>
      <c r="C2" t="s">
        <v>314</v>
      </c>
      <c r="D2" t="s">
        <v>315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Tables</vt:lpstr>
      <vt:lpstr>GeneralInformation</vt:lpstr>
      <vt:lpstr>Items</vt:lpstr>
      <vt:lpstr>ChargesAndDeductions</vt:lpstr>
      <vt:lpstr>CGST</vt:lpstr>
      <vt:lpstr>SGST</vt:lpstr>
      <vt:lpstr>IGST</vt:lpstr>
      <vt:lpstr>CESS</vt:lpstr>
      <vt:lpstr>OtherInfo</vt:lpstr>
      <vt:lpstr>AdditionalInformation</vt:lpstr>
      <vt:lpstr>Summary</vt:lpstr>
      <vt:lpstr>BillingAddress</vt:lpstr>
      <vt:lpstr>ShippingAddress</vt:lpstr>
      <vt:lpstr>TermsAndConditions</vt:lpstr>
      <vt:lpstr>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2025-08-08T11:08:25Z</dcterms:created>
  <dcterms:modified xsi:type="dcterms:W3CDTF">2025-08-08T11:38:57Z</dcterms:modified>
</cp:coreProperties>
</file>
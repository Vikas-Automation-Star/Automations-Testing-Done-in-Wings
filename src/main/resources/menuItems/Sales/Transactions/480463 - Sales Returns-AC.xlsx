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13_ncr:1_{8C9CD261-72F9-44A4-8584-86F4E60A45A0}" xr6:coauthVersionLast="36" xr6:coauthVersionMax="36" xr10:uidLastSave="{00000000-0000-0000-0000-000000000000}"/>
  <bookViews>
    <workbookView xWindow="32760" yWindow="32760" windowWidth="32760" windowHeight="32760" tabRatio="949" activeTab="2" xr2:uid="{00000000-000D-0000-FFFF-FFFF00000000}"/>
  </bookViews>
  <sheets>
    <sheet name="Tables" sheetId="1" r:id="rId1"/>
    <sheet name="GeneralInformation" sheetId="2" r:id="rId2"/>
    <sheet name="Items" sheetId="3" r:id="rId3"/>
    <sheet name="ChargesAndDeductions" sheetId="4" r:id="rId4"/>
    <sheet name="OtherCharges" sheetId="5" r:id="rId5"/>
    <sheet name="SerialNos" sheetId="6" r:id="rId6"/>
    <sheet name="CGST" sheetId="7" r:id="rId7"/>
    <sheet name="SGST" sheetId="8" r:id="rId8"/>
    <sheet name="IGST" sheetId="9" r:id="rId9"/>
    <sheet name="CESS" sheetId="10" r:id="rId10"/>
    <sheet name="TCS" sheetId="11" r:id="rId11"/>
    <sheet name="BillsReceivable" sheetId="12" r:id="rId12"/>
    <sheet name="Cash" sheetId="13" r:id="rId13"/>
    <sheet name="Cheques" sheetId="14" r:id="rId14"/>
    <sheet name="PostDatedCheques" sheetId="15" r:id="rId15"/>
    <sheet name="PDC" sheetId="16" r:id="rId16"/>
    <sheet name="EInvoiceDetails" sheetId="17" r:id="rId17"/>
    <sheet name="InvoiceDetails" sheetId="18" r:id="rId18"/>
    <sheet name="OtherInfo" sheetId="19" r:id="rId19"/>
    <sheet name="AdditionalInformation" sheetId="20" r:id="rId20"/>
    <sheet name="Summary" sheetId="21" r:id="rId21"/>
    <sheet name="BillingAddress" sheetId="22" r:id="rId22"/>
    <sheet name="ShippingAddress" sheetId="23" r:id="rId23"/>
    <sheet name="TermsAndConditions" sheetId="24" r:id="rId24"/>
    <sheet name="Allocations" sheetId="25" r:id="rId25"/>
  </sheets>
  <calcPr calcId="191029"/>
</workbook>
</file>

<file path=xl/calcChain.xml><?xml version="1.0" encoding="utf-8"?>
<calcChain xmlns="http://schemas.openxmlformats.org/spreadsheetml/2006/main">
  <c r="H14" i="4" l="1"/>
  <c r="K14" i="4" s="1"/>
  <c r="H13" i="4"/>
  <c r="K13" i="4" s="1"/>
  <c r="H12" i="4"/>
  <c r="K12" i="4" s="1"/>
  <c r="K16" i="4" s="1"/>
  <c r="E14" i="4"/>
  <c r="E13" i="4"/>
  <c r="E12" i="4"/>
  <c r="E10" i="4"/>
  <c r="H10" i="4" s="1"/>
  <c r="E11" i="4"/>
  <c r="H11" i="4" s="1"/>
  <c r="I11" i="4" s="1"/>
  <c r="K8" i="4"/>
  <c r="I8" i="4"/>
  <c r="H8" i="4"/>
  <c r="E8" i="4"/>
  <c r="AY15" i="3"/>
  <c r="AX15" i="3"/>
  <c r="AW15" i="3"/>
  <c r="AV15" i="3"/>
  <c r="AU15" i="3"/>
  <c r="AT15" i="3"/>
  <c r="AY12" i="3"/>
  <c r="AY11" i="3"/>
  <c r="AY10" i="3"/>
  <c r="AY9" i="3"/>
  <c r="AY8" i="3"/>
  <c r="AX14" i="3"/>
  <c r="AX12" i="3"/>
  <c r="AX11" i="3"/>
  <c r="AX10" i="3"/>
  <c r="AX9" i="3"/>
  <c r="AX8" i="3"/>
  <c r="AR12" i="3"/>
  <c r="AR11" i="3"/>
  <c r="AR10" i="3"/>
  <c r="AR9" i="3"/>
  <c r="AR8" i="3"/>
  <c r="AM12" i="3"/>
  <c r="AM11" i="3"/>
  <c r="AM10" i="3"/>
  <c r="AM9" i="3"/>
  <c r="AJ10" i="3"/>
  <c r="AJ9" i="3"/>
  <c r="AG10" i="3"/>
  <c r="AJ12" i="3"/>
  <c r="AJ11" i="3"/>
  <c r="AG12" i="3"/>
  <c r="AG11" i="3"/>
  <c r="AR15" i="3"/>
  <c r="AM15" i="3"/>
  <c r="AM8" i="3"/>
  <c r="AJ15" i="3"/>
  <c r="AJ8" i="3"/>
  <c r="AG15" i="3"/>
  <c r="AG9" i="3"/>
  <c r="AG8" i="3"/>
  <c r="AD15" i="3"/>
  <c r="AD12" i="3"/>
  <c r="AD11" i="3"/>
  <c r="AD10" i="3"/>
  <c r="AD9" i="3"/>
  <c r="AD14" i="3"/>
  <c r="AD8" i="3"/>
  <c r="AB12" i="3"/>
  <c r="AB11" i="3"/>
  <c r="AB10" i="3"/>
  <c r="AB9" i="3"/>
  <c r="AB8" i="3"/>
  <c r="AB14" i="3"/>
  <c r="AB15" i="3"/>
  <c r="T15" i="3"/>
  <c r="R15" i="3"/>
  <c r="Z15" i="3"/>
  <c r="Z14" i="3"/>
  <c r="Z12" i="3"/>
  <c r="Z11" i="3"/>
  <c r="Z10" i="3"/>
  <c r="Z9" i="3"/>
  <c r="Z8" i="3"/>
  <c r="AY14" i="3"/>
  <c r="AR14" i="3"/>
  <c r="AM14" i="3"/>
  <c r="AJ14" i="3"/>
  <c r="AG14" i="3"/>
  <c r="H16" i="4" l="1"/>
  <c r="I10" i="4"/>
  <c r="I16" i="4" s="1"/>
  <c r="E16" i="4"/>
</calcChain>
</file>

<file path=xl/sharedStrings.xml><?xml version="1.0" encoding="utf-8"?>
<sst xmlns="http://schemas.openxmlformats.org/spreadsheetml/2006/main" count="1297" uniqueCount="617">
  <si>
    <t>TableNames</t>
  </si>
  <si>
    <t>SheetNames</t>
  </si>
  <si>
    <t>VirtualNames</t>
  </si>
  <si>
    <t>GeneralInformation</t>
  </si>
  <si>
    <t>Items</t>
  </si>
  <si>
    <t>ChargesAndDeductions</t>
  </si>
  <si>
    <t>OtherCharges</t>
  </si>
  <si>
    <t>SerialNos</t>
  </si>
  <si>
    <t>CGST</t>
  </si>
  <si>
    <t>SGST</t>
  </si>
  <si>
    <t>IGST</t>
  </si>
  <si>
    <t>CESS</t>
  </si>
  <si>
    <t>TCS</t>
  </si>
  <si>
    <t>BillsReceivable</t>
  </si>
  <si>
    <t>Cash</t>
  </si>
  <si>
    <t>Cheques</t>
  </si>
  <si>
    <t>PostDatedCheques</t>
  </si>
  <si>
    <t>PDC</t>
  </si>
  <si>
    <t>EInvoiceDetails</t>
  </si>
  <si>
    <t>InvoiceDetails</t>
  </si>
  <si>
    <t>OtherInfo</t>
  </si>
  <si>
    <t>AdditionalInformation</t>
  </si>
  <si>
    <t>Summary</t>
  </si>
  <si>
    <t>BillingAddress</t>
  </si>
  <si>
    <t>ShippingAddress</t>
  </si>
  <si>
    <t>TermsAndConditions</t>
  </si>
  <si>
    <t>Allocations</t>
  </si>
  <si>
    <t>VoucherType</t>
  </si>
  <si>
    <t>Date</t>
  </si>
  <si>
    <t>Branch</t>
  </si>
  <si>
    <t>Location</t>
  </si>
  <si>
    <t>TransactionCurrency</t>
  </si>
  <si>
    <t>RegistrationType</t>
  </si>
  <si>
    <t>State</t>
  </si>
  <si>
    <t>StateCode</t>
  </si>
  <si>
    <t>ExchangeRate</t>
  </si>
  <si>
    <t>CurrencyCheck</t>
  </si>
  <si>
    <t>SalesInvoiceNo</t>
  </si>
  <si>
    <t>SalesInvoiceDate</t>
  </si>
  <si>
    <t>PartyAccountCode</t>
  </si>
  <si>
    <t>PartyAccount</t>
  </si>
  <si>
    <t>PartyDescription</t>
  </si>
  <si>
    <t>PlaceOfSupply</t>
  </si>
  <si>
    <t>GSTTransactionType</t>
  </si>
  <si>
    <t>MobileNo</t>
  </si>
  <si>
    <t>CreditPeriod</t>
  </si>
  <si>
    <t>DueDate</t>
  </si>
  <si>
    <t>SalesReturnsAccountCode</t>
  </si>
  <si>
    <t>SalesReturnsAccount</t>
  </si>
  <si>
    <t>ApplyTCS</t>
  </si>
  <si>
    <t>TCSTransactionNature</t>
  </si>
  <si>
    <t>BatchPolicy</t>
  </si>
  <si>
    <t>PriceList</t>
  </si>
  <si>
    <t>VoucherDiscountPercentage</t>
  </si>
  <si>
    <t>Executive</t>
  </si>
  <si>
    <t>Division</t>
  </si>
  <si>
    <t>ShippingAddressisDifferentfromBillingAddress</t>
  </si>
  <si>
    <t>Remarks</t>
  </si>
  <si>
    <t>AT_SRT</t>
  </si>
  <si>
    <t>AT_Branch 1_Reg</t>
  </si>
  <si>
    <t>1</t>
  </si>
  <si>
    <t>AT_Branch 1_Location 1</t>
  </si>
  <si>
    <t>INR</t>
  </si>
  <si>
    <t>Telangana</t>
  </si>
  <si>
    <t xml:space="preserve">36              </t>
  </si>
  <si>
    <t>0</t>
  </si>
  <si>
    <t>SI1 1</t>
  </si>
  <si>
    <t>At_Cus_Reg_Intra</t>
  </si>
  <si>
    <t>Customer Reg Intra</t>
  </si>
  <si>
    <t>Intra State</t>
  </si>
  <si>
    <t>Intra State Sales Returns from Registered Dealers</t>
  </si>
  <si>
    <t/>
  </si>
  <si>
    <t xml:space="preserve">            </t>
  </si>
  <si>
    <t>AT_Sales Return  Acc 1</t>
  </si>
  <si>
    <t>AT_TCS Transaction Nature 1</t>
  </si>
  <si>
    <t>AT-Purchase Batch Policy_CIDNE</t>
  </si>
  <si>
    <t>AT_Exclusive Sales Price List 1</t>
  </si>
  <si>
    <t>AT_Executive 2</t>
  </si>
  <si>
    <t>24D Books Fin AT</t>
  </si>
  <si>
    <t>PVREM1</t>
  </si>
  <si>
    <t>ProductCode</t>
  </si>
  <si>
    <t>Product</t>
  </si>
  <si>
    <t>Description</t>
  </si>
  <si>
    <t>HSNCode</t>
  </si>
  <si>
    <t>GoodsOrServices</t>
  </si>
  <si>
    <t>IsBatch</t>
  </si>
  <si>
    <t>IsSerialNo</t>
  </si>
  <si>
    <t>BatchDetails</t>
  </si>
  <si>
    <t>ProductBatch</t>
  </si>
  <si>
    <t>History</t>
  </si>
  <si>
    <t>SKU</t>
  </si>
  <si>
    <t>UOM</t>
  </si>
  <si>
    <t>ConversionFactor</t>
  </si>
  <si>
    <t>StorageBin</t>
  </si>
  <si>
    <t>Quantity</t>
  </si>
  <si>
    <t>QuantityInSKU</t>
  </si>
  <si>
    <t>FreeQuantity</t>
  </si>
  <si>
    <t>FreeQuantityInSKU</t>
  </si>
  <si>
    <t>NoOfPacks</t>
  </si>
  <si>
    <t>MRP</t>
  </si>
  <si>
    <t>MRPAmount</t>
  </si>
  <si>
    <t>UnitRate</t>
  </si>
  <si>
    <t>GrossAmount</t>
  </si>
  <si>
    <t>VoucherDiscount</t>
  </si>
  <si>
    <t>PartyDiscountPercentage</t>
  </si>
  <si>
    <t>PartyDiscount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</si>
  <si>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</si>
  <si>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</si>
  <si>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</si>
  <si>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</si>
  <si>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</si>
  <si>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</si>
  <si>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</si>
  <si>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</si>
  <si>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</si>
  <si>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</si>
  <si>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</si>
  <si>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</si>
  <si>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</si>
  <si>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</si>
  <si>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</si>
  <si>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</si>
  <si>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</si>
  <si>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TaxAdjustment</t>
  </si>
  <si>
    <t>NetAmount</t>
  </si>
  <si>
    <t>TCSTaxableValue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</si>
  <si>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</si>
  <si>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</si>
  <si>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</si>
  <si>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</si>
  <si>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</si>
  <si>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</si>
  <si>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</si>
  <si>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</si>
  <si>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</si>
  <si>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</si>
  <si>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</si>
  <si>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</si>
  <si>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</si>
  <si>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</si>
  <si>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</si>
  <si>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</si>
  <si>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</si>
  <si>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</si>
  <si>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</si>
  <si>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</si>
  <si>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</si>
  <si>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</si>
  <si>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</si>
  <si>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>P1</t>
  </si>
  <si>
    <t xml:space="preserve">8967            </t>
  </si>
  <si>
    <t>G</t>
  </si>
  <si>
    <t>Nos</t>
  </si>
  <si>
    <t>AT_Branch 1_Location 1 Default Bin</t>
  </si>
  <si>
    <t>% on Gross</t>
  </si>
  <si>
    <t>AT_HSN Code 1</t>
  </si>
  <si>
    <t>GST 12%</t>
  </si>
  <si>
    <t>CESS 1%</t>
  </si>
  <si>
    <t>Department 1</t>
  </si>
  <si>
    <t>Project 1</t>
  </si>
  <si>
    <t>Profit Centre 1</t>
  </si>
  <si>
    <t>Cost Centre 1</t>
  </si>
  <si>
    <t>PVICMNT1</t>
  </si>
  <si>
    <t>INF1</t>
  </si>
  <si>
    <t>INF6</t>
  </si>
  <si>
    <t>INF11</t>
  </si>
  <si>
    <t>INF16</t>
  </si>
  <si>
    <t>INF22</t>
  </si>
  <si>
    <t>AT_Product 2</t>
  </si>
  <si>
    <t>P2</t>
  </si>
  <si>
    <t>AT_Sales Return  Acc 2</t>
  </si>
  <si>
    <t>% on Gross-Disc1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</si>
  <si>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</si>
  <si>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</si>
  <si>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</si>
  <si>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</si>
  <si>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</si>
  <si>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</si>
  <si>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</si>
  <si>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</si>
  <si>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</si>
  <si>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</si>
  <si>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</si>
  <si>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7777            </t>
  </si>
  <si>
    <t>AT_Sales Return  Acc 3</t>
  </si>
  <si>
    <t>% on Gross - Voucher Disc - Party Disc</t>
  </si>
  <si>
    <t>% on Gross-Disc1-V Disc-P Disc</t>
  </si>
  <si>
    <t>AT_HSN Code 2</t>
  </si>
  <si>
    <t>GST 18%</t>
  </si>
  <si>
    <t>CESS 10%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</si>
  <si>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</si>
  <si>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</si>
  <si>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</si>
  <si>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</si>
  <si>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</si>
  <si>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</si>
  <si>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</si>
  <si>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</si>
  <si>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</si>
  <si>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</si>
  <si>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</si>
  <si>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>PSN3</t>
  </si>
  <si>
    <t>AT_Product With SN 3,202541</t>
  </si>
  <si>
    <t>AT_Sales Return  Acc 4</t>
  </si>
  <si>
    <t>Per Quantity</t>
  </si>
  <si>
    <t>% on Gross-Disc1&amp;Disc2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</si>
  <si>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</si>
  <si>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</si>
  <si>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</si>
  <si>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</si>
  <si>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</si>
  <si>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</si>
  <si>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</si>
  <si>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</si>
  <si>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</si>
  <si>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</si>
  <si>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</si>
  <si>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>AT_Multi batch product 4,202541</t>
  </si>
  <si>
    <t>AT_Sales Return  Acc 5</t>
  </si>
  <si>
    <t>Value</t>
  </si>
  <si>
    <t>% on Gross-Disc2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</si>
  <si>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</si>
  <si>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</si>
  <si>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</si>
  <si>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</si>
  <si>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</si>
  <si>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</si>
  <si>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</si>
  <si>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</si>
  <si>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</si>
  <si>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</si>
  <si>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</si>
  <si>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</si>
  <si>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</si>
  <si>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</si>
  <si>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</si>
  <si>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</si>
  <si>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</si>
  <si>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</si>
  <si>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</si>
  <si>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</si>
  <si>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</si>
  <si>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</si>
  <si>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</si>
  <si>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</si>
  <si>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</si>
  <si>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</si>
  <si>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</si>
  <si>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</si>
  <si>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</si>
  <si>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</si>
  <si>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</si>
  <si>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</si>
  <si>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</si>
  <si>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</si>
  <si>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</si>
  <si>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</si>
  <si>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</si>
  <si>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</si>
  <si>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</si>
  <si>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</si>
  <si>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</si>
  <si>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</si>
  <si>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</si>
  <si>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</si>
  <si>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</si>
  <si>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</si>
  <si>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</si>
  <si>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</si>
  <si>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</si>
  <si>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</si>
  <si>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</si>
  <si>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</si>
  <si>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</si>
  <si>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</si>
  <si>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</si>
  <si>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</si>
  <si>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AmountInCompanyCurrency</t>
  </si>
  <si>
    <t>AT_Charges  Acc 3</t>
  </si>
  <si>
    <t xml:space="preserve">1111            </t>
  </si>
  <si>
    <t>S</t>
  </si>
  <si>
    <t>AT_HSN Code 3</t>
  </si>
  <si>
    <t>GST 1.5%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</si>
  <si>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</si>
  <si>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</si>
  <si>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</si>
  <si>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</si>
  <si>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</si>
  <si>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</si>
  <si>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</si>
  <si>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</si>
  <si>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</si>
  <si>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</si>
  <si>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</si>
  <si>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</si>
  <si>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 xml:space="preserve">5689            </t>
  </si>
  <si>
    <t>AT_HSN Code 4</t>
  </si>
  <si>
    <t>Department 18</t>
  </si>
  <si>
    <t>Projects 18</t>
  </si>
  <si>
    <t>Profit Centre 18</t>
  </si>
  <si>
    <t>Cost Centre 18</t>
  </si>
  <si>
    <t>PVOCCMNTS3</t>
  </si>
  <si>
    <t>AT_Charges  Acc 5</t>
  </si>
  <si>
    <t xml:space="preserve">3456            </t>
  </si>
  <si>
    <t>AT_HSN Code 5</t>
  </si>
  <si>
    <t>GST 28%</t>
  </si>
  <si>
    <t>CESS 15%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</si>
  <si>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</si>
  <si>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</si>
  <si>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</si>
  <si>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</si>
  <si>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</si>
  <si>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</si>
  <si>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</si>
  <si>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</si>
  <si>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</si>
  <si>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</si>
  <si>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</si>
  <si>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</si>
  <si>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</si>
  <si>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</si>
  <si>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Batch</t>
  </si>
  <si>
    <t>Bin</t>
  </si>
  <si>
    <t>SerialNo</t>
  </si>
  <si>
    <t xml:space="preserve">EFGH0                           </t>
  </si>
  <si>
    <t xml:space="preserve">ABCD0                           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</si>
  <si>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</si>
  <si>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</si>
  <si>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</si>
  <si>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</si>
  <si>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</si>
  <si>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</si>
  <si>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</si>
  <si>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TaxAmountInCompanyCurrency</t>
  </si>
  <si>
    <t>EditableTaxAmount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</si>
  <si>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</si>
  <si>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</si>
  <si>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</si>
  <si>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</si>
  <si>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</si>
  <si>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</si>
  <si>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</si>
  <si>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</si>
  <si>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</si>
  <si>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</si>
  <si>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</si>
  <si>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</si>
  <si>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</si>
  <si>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</si>
  <si>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</si>
  <si>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</si>
  <si>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TransactionNature</t>
  </si>
  <si>
    <t>TCSRate</t>
  </si>
  <si>
    <t>TCSAmount</t>
  </si>
  <si>
    <t>TCSAmountInCompanyCurrency</t>
  </si>
  <si>
    <t>TCSAccount</t>
  </si>
  <si>
    <t>AT_TCS Collected Acc 1</t>
  </si>
  <si>
    <t>VoucherIdentityNo</t>
  </si>
  <si>
    <t>TowardsVNoDate</t>
  </si>
  <si>
    <t>VoucherIdentityNo1</t>
  </si>
  <si>
    <t>ReferenceBillDetails</t>
  </si>
  <si>
    <t>PendingAmount</t>
  </si>
  <si>
    <t>Adjust</t>
  </si>
  <si>
    <t>AmountAdjusted</t>
  </si>
  <si>
    <t>BalanceDue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</si>
  <si>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</si>
  <si>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</si>
  <si>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</si>
  <si>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</si>
  <si>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</si>
  <si>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</si>
  <si>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</si>
  <si>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</si>
  <si>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</si>
  <si>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</si>
  <si>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</si>
  <si>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</si>
  <si>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</si>
  <si>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</si>
  <si>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</si>
  <si>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</si>
  <si>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</si>
  <si>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</si>
  <si>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</si>
  <si>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</si>
  <si>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</si>
  <si>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</si>
  <si>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</si>
  <si>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</si>
  <si>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</si>
  <si>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</si>
  <si>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</si>
  <si>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</si>
  <si>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</si>
  <si>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</si>
  <si>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</si>
  <si>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</si>
  <si>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</si>
  <si>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</si>
  <si>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</si>
  <si>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</si>
  <si>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ChargesAccountCode</t>
  </si>
  <si>
    <t>ChargesAccount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</si>
  <si>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</si>
  <si>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</si>
  <si>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</si>
  <si>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</si>
  <si>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</si>
  <si>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</si>
  <si>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</si>
  <si>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</si>
  <si>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</si>
  <si>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</si>
  <si>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</si>
  <si>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</si>
  <si>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</si>
  <si>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</si>
  <si>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</si>
  <si>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</si>
  <si>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</si>
  <si>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</si>
  <si>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</si>
  <si>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</si>
  <si>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</si>
  <si>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</si>
  <si>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</si>
  <si>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</si>
  <si>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</si>
  <si>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</si>
  <si>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</si>
  <si>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</si>
  <si>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</si>
  <si>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</si>
  <si>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</si>
  <si>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</si>
  <si>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</si>
  <si>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</si>
  <si>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</si>
  <si>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</si>
  <si>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</si>
  <si>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</si>
  <si>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</si>
  <si>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</si>
  <si>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</t>
  </si>
  <si>
    <t>AT_Bank_PDC_Acc 1</t>
  </si>
  <si>
    <t>PDC Account</t>
  </si>
  <si>
    <t>1311</t>
  </si>
  <si>
    <t>Department 41</t>
  </si>
  <si>
    <t>Projects 41</t>
  </si>
  <si>
    <t>Profit Centre 41</t>
  </si>
  <si>
    <t>Cost Centre 41</t>
  </si>
  <si>
    <t>PVPDCCMNT1</t>
  </si>
  <si>
    <t>AT_Bank_PDC_Acc 2</t>
  </si>
  <si>
    <t>1312</t>
  </si>
  <si>
    <t>Department 42</t>
  </si>
  <si>
    <t>Projects 42</t>
  </si>
  <si>
    <t>Profit Centre 42</t>
  </si>
  <si>
    <t>Cost Centre 42</t>
  </si>
  <si>
    <t>PVPDCCMNT2</t>
  </si>
  <si>
    <t>AT_Bank_PDC_Acc 3</t>
  </si>
  <si>
    <t>1313</t>
  </si>
  <si>
    <t>Department 43</t>
  </si>
  <si>
    <t>Projects 43</t>
  </si>
  <si>
    <t>Profit Centre 43</t>
  </si>
  <si>
    <t>Cost Centre 43</t>
  </si>
  <si>
    <t>PVPDCCMNT3</t>
  </si>
  <si>
    <t>AT_Bank_PDC_Acc 4</t>
  </si>
  <si>
    <t>1314</t>
  </si>
  <si>
    <t>Department 44</t>
  </si>
  <si>
    <t>Projects 44</t>
  </si>
  <si>
    <t>Profit Centre 44</t>
  </si>
  <si>
    <t>Cost Centre 44</t>
  </si>
  <si>
    <t>PVPDCCMNT4</t>
  </si>
  <si>
    <t>AT_Bank_PDC_Acc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</si>
  <si>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</si>
  <si>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</si>
  <si>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</si>
  <si>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</si>
  <si>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</si>
  <si>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</si>
  <si>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</si>
  <si>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</si>
  <si>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</si>
  <si>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</si>
  <si>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</si>
  <si>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</si>
  <si>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</si>
  <si>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</si>
  <si>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</si>
  <si>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</si>
  <si>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</si>
  <si>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</si>
  <si>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</si>
  <si>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</si>
  <si>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</si>
  <si>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</si>
  <si>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</si>
  <si>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</si>
  <si>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</si>
  <si>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</si>
  <si>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</si>
  <si>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</si>
  <si>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</si>
  <si>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</si>
  <si>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</si>
  <si>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</si>
  <si>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</si>
  <si>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</si>
  <si>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</si>
  <si>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</si>
  <si>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</si>
  <si>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</si>
  <si>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</si>
  <si>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</si>
  <si>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</si>
  <si>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</si>
  <si>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</si>
  <si>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</si>
  <si>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</si>
  <si>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GSTEInvoiceRequired</t>
  </si>
  <si>
    <t>GenerateNow</t>
  </si>
  <si>
    <t>InvoiceValue</t>
  </si>
  <si>
    <t>InvoiceDate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</si>
  <si>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</si>
  <si>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</si>
  <si>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</si>
  <si>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</si>
  <si>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</si>
  <si>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</si>
  <si>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</si>
  <si>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</si>
  <si>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</si>
  <si>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</si>
  <si>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</si>
  <si>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</si>
  <si>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</si>
  <si>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</si>
  <si>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</si>
  <si>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</si>
  <si>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</si>
  <si>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</si>
  <si>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</si>
  <si>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ItemsGSTAmount</t>
  </si>
  <si>
    <t>NetAmountAfterCharges</t>
  </si>
  <si>
    <t>NetAmountAfterDeductions</t>
  </si>
  <si>
    <t>NetAmountAfterOtherCharges</t>
  </si>
  <si>
    <t>OtherChargesCGST</t>
  </si>
  <si>
    <t>OtherChargesSGST</t>
  </si>
  <si>
    <t>OtherChargesIGST</t>
  </si>
  <si>
    <t>OtherChargesCESS</t>
  </si>
  <si>
    <t>OtherChargesGST</t>
  </si>
  <si>
    <t>NetAmountAfterOtherChargesTaxAmount</t>
  </si>
  <si>
    <t>TCSTaxableValue1</t>
  </si>
  <si>
    <t>TCSTaxablevalue2</t>
  </si>
  <si>
    <t>EditTCSTaxablevalue</t>
  </si>
  <si>
    <t>NetAmountAfterTCS</t>
  </si>
  <si>
    <t>RoundOffType</t>
  </si>
  <si>
    <t>RoundOffAccount</t>
  </si>
  <si>
    <t>RoundOffAmount</t>
  </si>
  <si>
    <t>RoundOffDebit</t>
  </si>
  <si>
    <t>RoundOffDebitInCompanyCurrency</t>
  </si>
  <si>
    <t>RoundOffCredit</t>
  </si>
  <si>
    <t>RoundOffCreditInCompanyCurrency</t>
  </si>
  <si>
    <t>TotalValue</t>
  </si>
  <si>
    <t>TotalValueInCompanyCurrency</t>
  </si>
  <si>
    <t>BillsReceivableAdjusted</t>
  </si>
  <si>
    <t>NetAmountAfterBillsAdjusted</t>
  </si>
  <si>
    <t>TotalPostDatedCheques</t>
  </si>
  <si>
    <t>PaymentsValue</t>
  </si>
  <si>
    <t>NetAmountAfterPayment</t>
  </si>
  <si>
    <t>PayableAmount</t>
  </si>
  <si>
    <t>ReceivableAmount</t>
  </si>
  <si>
    <t>TotalChargesByValue</t>
  </si>
  <si>
    <t>TotalChargesByQty</t>
  </si>
  <si>
    <t>TotalDeductionsByValue</t>
  </si>
  <si>
    <t>TotalDeductionsByQty</t>
  </si>
  <si>
    <t>TaxAdjustment1</t>
  </si>
  <si>
    <t>TaxAdjustment2</t>
  </si>
  <si>
    <t>GSTAssessableValue1</t>
  </si>
  <si>
    <t>GSTAssessableValue2</t>
  </si>
  <si>
    <t>GSTIN</t>
  </si>
  <si>
    <t>Address1</t>
  </si>
  <si>
    <t>Address2</t>
  </si>
  <si>
    <t>Address3</t>
  </si>
  <si>
    <t>City</t>
  </si>
  <si>
    <t>Country</t>
  </si>
  <si>
    <t>Zip</t>
  </si>
  <si>
    <t>TelephoneNo</t>
  </si>
  <si>
    <t xml:space="preserve">36AAFCB7707D1ZV </t>
  </si>
  <si>
    <t>,Plot No 11, 4th Floor</t>
  </si>
  <si>
    <t>Hyderabad</t>
  </si>
  <si>
    <t>Yashshree Tech Park, HITEC City, Hyderabad, Telangana</t>
  </si>
  <si>
    <t>India</t>
  </si>
  <si>
    <t>500081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</si>
  <si>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</si>
  <si>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</si>
  <si>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</si>
  <si>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</si>
  <si>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</si>
  <si>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</si>
  <si>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</si>
  <si>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</si>
  <si>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</si>
  <si>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</si>
  <si>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</si>
  <si>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</si>
  <si>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</si>
  <si>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</si>
  <si>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</si>
  <si>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</si>
  <si>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</si>
  <si>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</si>
  <si>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</si>
  <si>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MasterType</t>
  </si>
  <si>
    <t>Products</t>
  </si>
  <si>
    <t>Products - MultiBatch</t>
  </si>
  <si>
    <t>Products - Batches and 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</si>
</sst>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25"/>
  <sheetViews>
    <sheetView workbookViewId="0">
      <selection activeCell="E8" sqref="E8"/>
    </sheetView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23</v>
      </c>
      <c r="C22" t="s">
        <v>23</v>
      </c>
    </row>
    <row r="23" spans="1:3" x14ac:dyDescent="0.25">
      <c r="A23" t="s">
        <v>24</v>
      </c>
      <c r="B23" t="s">
        <v>24</v>
      </c>
      <c r="C23" t="s">
        <v>24</v>
      </c>
    </row>
    <row r="24" spans="1:3" x14ac:dyDescent="0.25">
      <c r="A24" t="s">
        <v>25</v>
      </c>
      <c r="B24" t="s">
        <v>25</v>
      </c>
      <c r="C24" t="s">
        <v>25</v>
      </c>
    </row>
    <row r="25" spans="1:3" x14ac:dyDescent="0.25">
      <c r="A25" t="s">
        <v>26</v>
      </c>
      <c r="B25" t="s">
        <v>26</v>
      </c>
      <c r="C25" t="s">
        <v>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C2"/>
  <sheetViews>
    <sheetView workbookViewId="0">
      <selection activeCell="I1" sqref="I1"/>
    </sheetView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22" bestFit="1" customWidth="1"/>
    <col min="5" max="5" width="19.28515625" bestFit="1" customWidth="1"/>
    <col min="6" max="6" width="16.140625" bestFit="1" customWidth="1"/>
    <col min="7" max="7" width="13.42578125" bestFit="1" customWidth="1"/>
    <col min="8" max="8" width="14.28515625" bestFit="1" customWidth="1"/>
    <col min="9" max="9" width="14.7109375" bestFit="1" customWidth="1"/>
    <col min="10" max="10" width="16.28515625" bestFit="1" customWidth="1"/>
    <col min="11" max="11" width="17.5703125" bestFit="1" customWidth="1"/>
    <col min="12" max="12" width="16.7109375" bestFit="1" customWidth="1"/>
    <col min="13" max="13" width="18.140625" bestFit="1" customWidth="1"/>
    <col min="14" max="14" width="14" bestFit="1" customWidth="1"/>
    <col min="15" max="15" width="45.42578125" bestFit="1" customWidth="1"/>
    <col min="16" max="16" width="9.85546875" bestFit="1" customWidth="1"/>
    <col min="17" max="17" width="12.28515625" bestFit="1" customWidth="1"/>
    <col min="18" max="18" width="10.140625" bestFit="1" customWidth="1"/>
    <col min="19" max="19" width="24.5703125" bestFit="1" customWidth="1"/>
    <col min="20" max="20" width="20.85546875" bestFit="1" customWidth="1"/>
    <col min="21" max="21" width="9.28515625" bestFit="1" customWidth="1"/>
    <col min="22" max="22" width="26.5703125" bestFit="1" customWidth="1"/>
    <col min="23" max="23" width="30.140625" bestFit="1" customWidth="1"/>
    <col min="24" max="24" width="27.7109375" bestFit="1" customWidth="1"/>
    <col min="25" max="25" width="26.7109375" bestFit="1" customWidth="1"/>
    <col min="26" max="26" width="14.42578125" bestFit="1" customWidth="1"/>
    <col min="27" max="27" width="43.5703125" bestFit="1" customWidth="1"/>
    <col min="28" max="28" width="16" bestFit="1" customWidth="1"/>
    <col min="29" max="29" width="8.5703125" bestFit="1" customWidth="1"/>
  </cols>
  <sheetData>
    <row r="1" spans="1:29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56</v>
      </c>
      <c r="AB1" t="s">
        <v>24</v>
      </c>
      <c r="AC1" t="s">
        <v>57</v>
      </c>
    </row>
    <row r="2" spans="1:29" x14ac:dyDescent="0.25">
      <c r="A2" t="s">
        <v>58</v>
      </c>
      <c r="B2" s="1">
        <v>45849</v>
      </c>
      <c r="C2" t="s">
        <v>59</v>
      </c>
      <c r="D2" t="s">
        <v>61</v>
      </c>
      <c r="E2" t="s">
        <v>62</v>
      </c>
      <c r="F2">
        <v>1</v>
      </c>
      <c r="G2">
        <v>1</v>
      </c>
      <c r="H2" t="s">
        <v>65</v>
      </c>
      <c r="I2" t="s">
        <v>66</v>
      </c>
      <c r="J2" s="1">
        <v>45849</v>
      </c>
      <c r="K2" t="s">
        <v>67</v>
      </c>
      <c r="L2" t="s">
        <v>67</v>
      </c>
      <c r="M2" t="s">
        <v>68</v>
      </c>
      <c r="N2" t="s">
        <v>69</v>
      </c>
      <c r="O2" t="s">
        <v>70</v>
      </c>
      <c r="P2" t="s">
        <v>72</v>
      </c>
      <c r="Q2">
        <v>91</v>
      </c>
      <c r="R2" s="1">
        <v>45940</v>
      </c>
      <c r="S2" t="s">
        <v>73</v>
      </c>
      <c r="T2" t="s">
        <v>73</v>
      </c>
      <c r="U2" t="s">
        <v>60</v>
      </c>
      <c r="V2" t="s">
        <v>74</v>
      </c>
      <c r="W2" t="s">
        <v>75</v>
      </c>
      <c r="X2" t="s">
        <v>76</v>
      </c>
      <c r="Y2">
        <v>1.1100000000000001</v>
      </c>
      <c r="Z2" t="s">
        <v>77</v>
      </c>
      <c r="AA2" t="s">
        <v>65</v>
      </c>
      <c r="AB2" t="s">
        <v>71</v>
      </c>
      <c r="AC2" t="s">
        <v>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BU15"/>
  <sheetViews>
    <sheetView tabSelected="1" workbookViewId="0">
      <selection activeCell="D16" sqref="D16"/>
    </sheetView>
  </sheetViews>
  <sheetFormatPr defaultRowHeight="15" x14ac:dyDescent="0.25"/>
  <cols>
    <col min="1" max="1" width="23.42578125" bestFit="1" customWidth="1"/>
    <col min="2" max="2" width="23.42578125" customWidth="1"/>
    <col min="3" max="3" width="23.42578125" bestFit="1" customWidth="1"/>
    <col min="4" max="4" width="11.140625" bestFit="1" customWidth="1"/>
    <col min="5" max="5" width="10.140625" bestFit="1" customWidth="1"/>
    <col min="6" max="6" width="16.140625" bestFit="1" customWidth="1"/>
    <col min="7" max="7" width="7.28515625" bestFit="1" customWidth="1"/>
    <col min="8" max="8" width="10" bestFit="1" customWidth="1"/>
    <col min="9" max="9" width="12" bestFit="1" customWidth="1"/>
    <col min="10" max="10" width="30.28515625" bestFit="1" customWidth="1"/>
    <col min="11" max="11" width="7.28515625" bestFit="1" customWidth="1"/>
    <col min="12" max="12" width="20.85546875" bestFit="1" customWidth="1"/>
    <col min="13" max="13" width="4.42578125" bestFit="1" customWidth="1"/>
    <col min="14" max="14" width="5.42578125" bestFit="1" customWidth="1"/>
    <col min="15" max="15" width="16.5703125" bestFit="1" customWidth="1"/>
    <col min="16" max="16" width="32.5703125" bestFit="1" customWidth="1"/>
    <col min="17" max="17" width="9.42578125" bestFit="1" customWidth="1"/>
    <col min="18" max="18" width="8.7109375" bestFit="1" customWidth="1"/>
    <col min="19" max="19" width="14" bestFit="1" customWidth="1"/>
    <col min="20" max="20" width="12.7109375" bestFit="1" customWidth="1"/>
    <col min="21" max="21" width="18.140625" bestFit="1" customWidth="1"/>
    <col min="22" max="22" width="10.5703125" bestFit="1" customWidth="1"/>
    <col min="23" max="23" width="8" bestFit="1" customWidth="1"/>
    <col min="24" max="24" width="12.140625" bestFit="1" customWidth="1"/>
    <col min="25" max="25" width="8.7109375" bestFit="1" customWidth="1"/>
    <col min="26" max="26" width="13.140625" bestFit="1" customWidth="1"/>
    <col min="27" max="27" width="26.7109375" bestFit="1" customWidth="1"/>
    <col min="28" max="28" width="16.28515625" bestFit="1" customWidth="1"/>
    <col min="29" max="29" width="23.7109375" bestFit="1" customWidth="1"/>
    <col min="30" max="30" width="13.42578125" bestFit="1" customWidth="1"/>
    <col min="31" max="31" width="34.5703125" bestFit="1" customWidth="1"/>
    <col min="32" max="32" width="9.7109375" bestFit="1" customWidth="1"/>
    <col min="33" max="33" width="17" bestFit="1" customWidth="1"/>
    <col min="34" max="34" width="28.28515625" bestFit="1" customWidth="1"/>
    <col min="35" max="35" width="9.7109375" bestFit="1" customWidth="1"/>
    <col min="36" max="36" width="17" bestFit="1" customWidth="1"/>
    <col min="37" max="37" width="28.28515625" bestFit="1" customWidth="1"/>
    <col min="38" max="38" width="9.7109375" bestFit="1" customWidth="1"/>
    <col min="39" max="39" width="17" bestFit="1" customWidth="1"/>
    <col min="40" max="40" width="11.85546875" bestFit="1" customWidth="1"/>
    <col min="41" max="41" width="14.5703125" bestFit="1" customWidth="1"/>
    <col min="42" max="42" width="19.28515625" bestFit="1" customWidth="1"/>
    <col min="43" max="43" width="20.140625" bestFit="1" customWidth="1"/>
    <col min="44" max="44" width="19.42578125" bestFit="1" customWidth="1"/>
    <col min="45" max="45" width="14.42578125" bestFit="1" customWidth="1"/>
    <col min="46" max="47" width="6" bestFit="1" customWidth="1"/>
    <col min="48" max="48" width="4.85546875" bestFit="1" customWidth="1"/>
    <col min="49" max="49" width="6" bestFit="1" customWidth="1"/>
    <col min="50" max="51" width="11.42578125" bestFit="1" customWidth="1"/>
    <col min="52" max="52" width="30" bestFit="1" customWidth="1"/>
    <col min="53" max="53" width="16.5703125" bestFit="1" customWidth="1"/>
    <col min="54" max="54" width="12" bestFit="1" customWidth="1"/>
    <col min="55" max="55" width="17.42578125" bestFit="1" customWidth="1"/>
    <col min="56" max="56" width="16.140625" bestFit="1" customWidth="1"/>
    <col min="57" max="57" width="10.5703125" bestFit="1" customWidth="1"/>
    <col min="58" max="58" width="5.5703125" bestFit="1" customWidth="1"/>
    <col min="59" max="62" width="6" bestFit="1" customWidth="1"/>
    <col min="63" max="67" width="7.140625" bestFit="1" customWidth="1"/>
    <col min="68" max="70" width="10.140625" bestFit="1" customWidth="1"/>
    <col min="71" max="73" width="6" bestFit="1" customWidth="1"/>
  </cols>
  <sheetData>
    <row r="1" spans="1:73" x14ac:dyDescent="0.25">
      <c r="A1" t="s">
        <v>80</v>
      </c>
      <c r="B1" t="s">
        <v>613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48</v>
      </c>
      <c r="M1" t="s">
        <v>90</v>
      </c>
      <c r="N1" t="s">
        <v>91</v>
      </c>
      <c r="O1" t="s">
        <v>92</v>
      </c>
      <c r="P1" t="s">
        <v>93</v>
      </c>
      <c r="Q1" t="s">
        <v>7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53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8</v>
      </c>
      <c r="AU1" t="s">
        <v>9</v>
      </c>
      <c r="AV1" t="s">
        <v>10</v>
      </c>
      <c r="AW1" t="s">
        <v>11</v>
      </c>
      <c r="AX1" t="s">
        <v>122</v>
      </c>
      <c r="AY1" t="s">
        <v>124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</row>
    <row r="2" spans="1:73" x14ac:dyDescent="0.25">
      <c r="A2" t="s">
        <v>148</v>
      </c>
      <c r="B2" t="s">
        <v>614</v>
      </c>
      <c r="C2" t="s">
        <v>148</v>
      </c>
      <c r="D2" t="s">
        <v>149</v>
      </c>
      <c r="E2" t="s">
        <v>150</v>
      </c>
      <c r="F2" t="s">
        <v>151</v>
      </c>
      <c r="G2" t="s">
        <v>65</v>
      </c>
      <c r="H2" t="s">
        <v>65</v>
      </c>
      <c r="I2" t="s">
        <v>60</v>
      </c>
      <c r="J2" t="s">
        <v>148</v>
      </c>
      <c r="K2">
        <v>0</v>
      </c>
      <c r="L2" t="s">
        <v>73</v>
      </c>
      <c r="M2" t="s">
        <v>152</v>
      </c>
      <c r="N2" t="s">
        <v>152</v>
      </c>
      <c r="O2">
        <v>1</v>
      </c>
      <c r="P2" t="s">
        <v>153</v>
      </c>
      <c r="Q2">
        <v>0</v>
      </c>
      <c r="R2">
        <v>1.123</v>
      </c>
      <c r="S2">
        <v>1.123</v>
      </c>
      <c r="T2">
        <v>1.012</v>
      </c>
      <c r="U2">
        <v>1.012</v>
      </c>
      <c r="V2">
        <v>1</v>
      </c>
      <c r="W2">
        <v>500.11</v>
      </c>
      <c r="X2">
        <v>561.62</v>
      </c>
      <c r="Y2">
        <v>250.11</v>
      </c>
      <c r="Z2">
        <v>280.87</v>
      </c>
      <c r="AA2">
        <v>1.1100000000000001</v>
      </c>
      <c r="AB2">
        <v>3.12</v>
      </c>
      <c r="AC2">
        <v>1.1200000000000001</v>
      </c>
      <c r="AD2">
        <v>3.15</v>
      </c>
      <c r="AE2" t="s">
        <v>154</v>
      </c>
      <c r="AF2">
        <v>1.02</v>
      </c>
      <c r="AG2">
        <v>2.86</v>
      </c>
      <c r="AH2" t="s">
        <v>154</v>
      </c>
      <c r="AI2">
        <v>1.07</v>
      </c>
      <c r="AJ2">
        <v>3.01</v>
      </c>
      <c r="AK2" t="s">
        <v>154</v>
      </c>
      <c r="AL2">
        <v>1.23</v>
      </c>
      <c r="AM2">
        <v>3.45</v>
      </c>
      <c r="AN2" t="s">
        <v>65</v>
      </c>
      <c r="AO2" t="s">
        <v>155</v>
      </c>
      <c r="AP2" t="s">
        <v>156</v>
      </c>
      <c r="AQ2" t="s">
        <v>157</v>
      </c>
      <c r="AR2">
        <v>265.27999999999997</v>
      </c>
      <c r="AS2">
        <v>12</v>
      </c>
      <c r="AT2">
        <v>15.92</v>
      </c>
      <c r="AU2">
        <v>15.92</v>
      </c>
      <c r="AV2">
        <v>0</v>
      </c>
      <c r="AW2">
        <v>2.65</v>
      </c>
      <c r="AX2">
        <v>34.49</v>
      </c>
      <c r="AY2">
        <v>299.77</v>
      </c>
      <c r="AZ2">
        <v>299.77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>
        <v>1.28</v>
      </c>
      <c r="BL2">
        <v>1.34</v>
      </c>
      <c r="BM2">
        <v>1.39</v>
      </c>
      <c r="BN2">
        <v>1.45</v>
      </c>
      <c r="BO2">
        <v>1.51</v>
      </c>
      <c r="BP2" s="1">
        <v>45850</v>
      </c>
      <c r="BQ2" s="1">
        <v>45855</v>
      </c>
      <c r="BR2" s="1">
        <v>45856</v>
      </c>
      <c r="BS2" t="s">
        <v>60</v>
      </c>
      <c r="BT2" t="s">
        <v>60</v>
      </c>
      <c r="BU2" t="s">
        <v>60</v>
      </c>
    </row>
    <row r="3" spans="1:73" x14ac:dyDescent="0.25">
      <c r="A3" t="s">
        <v>168</v>
      </c>
      <c r="B3" t="s">
        <v>614</v>
      </c>
      <c r="C3" t="s">
        <v>168</v>
      </c>
      <c r="D3" t="s">
        <v>169</v>
      </c>
      <c r="E3" t="s">
        <v>150</v>
      </c>
      <c r="F3" t="s">
        <v>151</v>
      </c>
      <c r="G3" t="s">
        <v>65</v>
      </c>
      <c r="H3" t="s">
        <v>65</v>
      </c>
      <c r="I3" t="s">
        <v>60</v>
      </c>
      <c r="J3" t="s">
        <v>168</v>
      </c>
      <c r="K3">
        <v>0</v>
      </c>
      <c r="L3" t="s">
        <v>170</v>
      </c>
      <c r="M3" t="s">
        <v>152</v>
      </c>
      <c r="N3" t="s">
        <v>152</v>
      </c>
      <c r="O3">
        <v>1</v>
      </c>
      <c r="P3" t="s">
        <v>153</v>
      </c>
      <c r="Q3">
        <v>0</v>
      </c>
      <c r="R3">
        <v>1.1240000000000001</v>
      </c>
      <c r="S3">
        <v>1.1240000000000001</v>
      </c>
      <c r="T3">
        <v>1.103</v>
      </c>
      <c r="U3">
        <v>1.103</v>
      </c>
      <c r="V3">
        <v>2</v>
      </c>
      <c r="W3">
        <v>500.12</v>
      </c>
      <c r="X3">
        <v>562.13</v>
      </c>
      <c r="Y3">
        <v>250.12</v>
      </c>
      <c r="Z3">
        <v>281.13</v>
      </c>
      <c r="AA3">
        <v>1.1100000000000001</v>
      </c>
      <c r="AB3">
        <v>3.12</v>
      </c>
      <c r="AC3">
        <v>1.1299999999999999</v>
      </c>
      <c r="AD3">
        <v>3.18</v>
      </c>
      <c r="AE3" t="s">
        <v>154</v>
      </c>
      <c r="AF3">
        <v>1.03</v>
      </c>
      <c r="AG3">
        <v>2.9</v>
      </c>
      <c r="AH3" t="s">
        <v>171</v>
      </c>
      <c r="AI3">
        <v>1.08</v>
      </c>
      <c r="AJ3">
        <v>3</v>
      </c>
      <c r="AK3" t="s">
        <v>171</v>
      </c>
      <c r="AL3">
        <v>1.24</v>
      </c>
      <c r="AM3">
        <v>3.45</v>
      </c>
      <c r="AN3" t="s">
        <v>65</v>
      </c>
      <c r="AO3" t="s">
        <v>155</v>
      </c>
      <c r="AP3" t="s">
        <v>156</v>
      </c>
      <c r="AQ3" t="s">
        <v>157</v>
      </c>
      <c r="AR3">
        <v>265.48</v>
      </c>
      <c r="AS3">
        <v>12</v>
      </c>
      <c r="AT3">
        <v>15.93</v>
      </c>
      <c r="AU3">
        <v>15.93</v>
      </c>
      <c r="AV3">
        <v>0</v>
      </c>
      <c r="AW3">
        <v>2.65</v>
      </c>
      <c r="AX3">
        <v>34.51</v>
      </c>
      <c r="AY3">
        <v>299.99</v>
      </c>
      <c r="AZ3">
        <v>299.99</v>
      </c>
      <c r="BA3" t="s">
        <v>172</v>
      </c>
      <c r="BB3" t="s">
        <v>173</v>
      </c>
      <c r="BC3" t="s">
        <v>174</v>
      </c>
      <c r="BD3" t="s">
        <v>175</v>
      </c>
      <c r="BE3" t="s">
        <v>176</v>
      </c>
      <c r="BF3" t="s">
        <v>177</v>
      </c>
      <c r="BG3" t="s">
        <v>178</v>
      </c>
      <c r="BH3" t="s">
        <v>179</v>
      </c>
      <c r="BI3" t="s">
        <v>180</v>
      </c>
      <c r="BJ3" t="s">
        <v>181</v>
      </c>
      <c r="BK3">
        <v>1.29</v>
      </c>
      <c r="BL3">
        <v>1.35</v>
      </c>
      <c r="BM3">
        <v>1.41</v>
      </c>
      <c r="BN3">
        <v>1.46</v>
      </c>
      <c r="BO3">
        <v>1.52</v>
      </c>
      <c r="BP3" s="1">
        <v>45851</v>
      </c>
      <c r="BQ3" s="1">
        <v>45857</v>
      </c>
      <c r="BR3" s="1">
        <v>45858</v>
      </c>
      <c r="BS3" t="s">
        <v>60</v>
      </c>
      <c r="BT3" t="s">
        <v>60</v>
      </c>
      <c r="BU3" t="s">
        <v>60</v>
      </c>
    </row>
    <row r="4" spans="1:73" x14ac:dyDescent="0.25">
      <c r="A4" t="s">
        <v>182</v>
      </c>
      <c r="B4" t="s">
        <v>614</v>
      </c>
      <c r="C4" t="s">
        <v>182</v>
      </c>
      <c r="D4" t="s">
        <v>71</v>
      </c>
      <c r="E4" t="s">
        <v>183</v>
      </c>
      <c r="F4" t="s">
        <v>151</v>
      </c>
      <c r="G4" t="s">
        <v>65</v>
      </c>
      <c r="H4" t="s">
        <v>65</v>
      </c>
      <c r="I4" t="s">
        <v>60</v>
      </c>
      <c r="J4" t="s">
        <v>182</v>
      </c>
      <c r="K4">
        <v>0</v>
      </c>
      <c r="L4" t="s">
        <v>184</v>
      </c>
      <c r="M4" t="s">
        <v>152</v>
      </c>
      <c r="N4" t="s">
        <v>152</v>
      </c>
      <c r="O4">
        <v>1</v>
      </c>
      <c r="P4" t="s">
        <v>153</v>
      </c>
      <c r="Q4">
        <v>0</v>
      </c>
      <c r="R4">
        <v>1.1259999999999999</v>
      </c>
      <c r="S4">
        <v>1.1259999999999999</v>
      </c>
      <c r="T4">
        <v>1.105</v>
      </c>
      <c r="U4">
        <v>1.105</v>
      </c>
      <c r="V4">
        <v>3</v>
      </c>
      <c r="W4">
        <v>1000.13</v>
      </c>
      <c r="X4">
        <v>1126.1500000000001</v>
      </c>
      <c r="Y4">
        <v>100.13</v>
      </c>
      <c r="Z4">
        <v>112.75</v>
      </c>
      <c r="AA4">
        <v>1.1100000000000001</v>
      </c>
      <c r="AB4">
        <v>1.25</v>
      </c>
      <c r="AC4">
        <v>1.1599999999999999</v>
      </c>
      <c r="AD4">
        <v>1.31</v>
      </c>
      <c r="AE4" s="2" t="s">
        <v>185</v>
      </c>
      <c r="AF4">
        <v>1.04</v>
      </c>
      <c r="AG4" s="2">
        <v>1.17</v>
      </c>
      <c r="AH4" s="2" t="s">
        <v>186</v>
      </c>
      <c r="AI4">
        <v>1.0900000000000001</v>
      </c>
      <c r="AJ4" s="2">
        <v>1.22</v>
      </c>
      <c r="AK4" s="2" t="s">
        <v>186</v>
      </c>
      <c r="AL4">
        <v>1.25</v>
      </c>
      <c r="AM4" s="2">
        <v>1.39</v>
      </c>
      <c r="AN4" t="s">
        <v>65</v>
      </c>
      <c r="AO4" t="s">
        <v>187</v>
      </c>
      <c r="AP4" t="s">
        <v>188</v>
      </c>
      <c r="AQ4" t="s">
        <v>189</v>
      </c>
      <c r="AR4" s="2">
        <v>106.41</v>
      </c>
      <c r="AS4">
        <v>18</v>
      </c>
      <c r="AT4" s="2">
        <v>9.58</v>
      </c>
      <c r="AU4" s="2">
        <v>9.58</v>
      </c>
      <c r="AV4" s="2">
        <v>0</v>
      </c>
      <c r="AW4" s="2">
        <v>10.64</v>
      </c>
      <c r="AX4" s="2">
        <v>29.8</v>
      </c>
      <c r="AY4" s="2">
        <v>136.21</v>
      </c>
      <c r="AZ4" s="2">
        <v>136.21</v>
      </c>
      <c r="BA4" t="s">
        <v>190</v>
      </c>
      <c r="BB4" t="s">
        <v>191</v>
      </c>
      <c r="BC4" t="s">
        <v>192</v>
      </c>
      <c r="BD4" t="s">
        <v>193</v>
      </c>
      <c r="BE4" t="s">
        <v>194</v>
      </c>
      <c r="BF4" t="s">
        <v>195</v>
      </c>
      <c r="BG4" t="s">
        <v>196</v>
      </c>
      <c r="BH4" t="s">
        <v>197</v>
      </c>
      <c r="BI4" t="s">
        <v>198</v>
      </c>
      <c r="BJ4" t="s">
        <v>199</v>
      </c>
      <c r="BK4">
        <v>1.31</v>
      </c>
      <c r="BL4">
        <v>1.36</v>
      </c>
      <c r="BM4">
        <v>1.42</v>
      </c>
      <c r="BN4">
        <v>1.47</v>
      </c>
      <c r="BO4">
        <v>1.53</v>
      </c>
      <c r="BP4" s="1">
        <v>45852</v>
      </c>
      <c r="BQ4" s="1">
        <v>45853</v>
      </c>
      <c r="BR4" s="1">
        <v>45854</v>
      </c>
      <c r="BS4" t="s">
        <v>60</v>
      </c>
      <c r="BT4" t="s">
        <v>60</v>
      </c>
      <c r="BU4" t="s">
        <v>60</v>
      </c>
    </row>
    <row r="5" spans="1:73" x14ac:dyDescent="0.25">
      <c r="A5" t="s">
        <v>200</v>
      </c>
      <c r="B5" t="s">
        <v>616</v>
      </c>
      <c r="C5" t="s">
        <v>200</v>
      </c>
      <c r="D5" t="s">
        <v>201</v>
      </c>
      <c r="E5" t="s">
        <v>150</v>
      </c>
      <c r="F5" t="s">
        <v>151</v>
      </c>
      <c r="G5" t="s">
        <v>60</v>
      </c>
      <c r="H5" t="s">
        <v>60</v>
      </c>
      <c r="I5" t="s">
        <v>60</v>
      </c>
      <c r="J5" t="s">
        <v>202</v>
      </c>
      <c r="K5">
        <v>0</v>
      </c>
      <c r="L5" t="s">
        <v>203</v>
      </c>
      <c r="M5" t="s">
        <v>152</v>
      </c>
      <c r="N5" t="s">
        <v>152</v>
      </c>
      <c r="O5">
        <v>1</v>
      </c>
      <c r="P5" t="s">
        <v>153</v>
      </c>
      <c r="Q5">
        <v>0</v>
      </c>
      <c r="R5">
        <v>1</v>
      </c>
      <c r="S5">
        <v>1</v>
      </c>
      <c r="T5">
        <v>1</v>
      </c>
      <c r="U5">
        <v>1</v>
      </c>
      <c r="V5">
        <v>4</v>
      </c>
      <c r="W5">
        <v>500.14</v>
      </c>
      <c r="X5">
        <v>500.14</v>
      </c>
      <c r="Y5">
        <v>250.14</v>
      </c>
      <c r="Z5">
        <v>250.14</v>
      </c>
      <c r="AA5">
        <v>1.1100000000000001</v>
      </c>
      <c r="AB5">
        <v>2.78</v>
      </c>
      <c r="AC5">
        <v>1.17</v>
      </c>
      <c r="AD5">
        <v>2.93</v>
      </c>
      <c r="AE5" t="s">
        <v>204</v>
      </c>
      <c r="AF5">
        <v>1.05</v>
      </c>
      <c r="AG5">
        <v>1.05</v>
      </c>
      <c r="AH5" t="s">
        <v>204</v>
      </c>
      <c r="AI5">
        <v>1.21</v>
      </c>
      <c r="AJ5">
        <v>1.21</v>
      </c>
      <c r="AK5" t="s">
        <v>205</v>
      </c>
      <c r="AL5">
        <v>1.26</v>
      </c>
      <c r="AM5">
        <v>3.12</v>
      </c>
      <c r="AN5" t="s">
        <v>65</v>
      </c>
      <c r="AO5" t="s">
        <v>155</v>
      </c>
      <c r="AP5" t="s">
        <v>156</v>
      </c>
      <c r="AQ5" t="s">
        <v>157</v>
      </c>
      <c r="AR5">
        <v>239.05</v>
      </c>
      <c r="AS5">
        <v>12</v>
      </c>
      <c r="AT5">
        <v>14.34</v>
      </c>
      <c r="AU5">
        <v>14.34</v>
      </c>
      <c r="AV5">
        <v>0</v>
      </c>
      <c r="AW5">
        <v>2.39</v>
      </c>
      <c r="AX5">
        <v>31.07</v>
      </c>
      <c r="AY5">
        <v>270.12</v>
      </c>
      <c r="AZ5">
        <v>270.12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>
        <v>1.32</v>
      </c>
      <c r="BL5">
        <v>1.37</v>
      </c>
      <c r="BM5">
        <v>1.43</v>
      </c>
      <c r="BN5">
        <v>1.48</v>
      </c>
      <c r="BO5">
        <v>1.54</v>
      </c>
      <c r="BP5" s="1">
        <v>45855</v>
      </c>
      <c r="BQ5" s="1">
        <v>45856</v>
      </c>
      <c r="BR5" s="1">
        <v>45857</v>
      </c>
      <c r="BS5" t="s">
        <v>60</v>
      </c>
      <c r="BT5" t="s">
        <v>60</v>
      </c>
      <c r="BU5" t="s">
        <v>60</v>
      </c>
    </row>
    <row r="6" spans="1:73" x14ac:dyDescent="0.25">
      <c r="A6" t="s">
        <v>216</v>
      </c>
      <c r="B6" t="s">
        <v>615</v>
      </c>
      <c r="C6" t="s">
        <v>216</v>
      </c>
      <c r="D6" t="s">
        <v>71</v>
      </c>
      <c r="E6" t="s">
        <v>183</v>
      </c>
      <c r="F6" t="s">
        <v>151</v>
      </c>
      <c r="G6" t="s">
        <v>60</v>
      </c>
      <c r="H6" t="s">
        <v>65</v>
      </c>
      <c r="I6" t="s">
        <v>60</v>
      </c>
      <c r="J6" t="s">
        <v>217</v>
      </c>
      <c r="K6">
        <v>0</v>
      </c>
      <c r="L6" t="s">
        <v>218</v>
      </c>
      <c r="M6" t="s">
        <v>152</v>
      </c>
      <c r="N6" t="s">
        <v>152</v>
      </c>
      <c r="O6">
        <v>1</v>
      </c>
      <c r="P6" t="s">
        <v>153</v>
      </c>
      <c r="Q6">
        <v>0</v>
      </c>
      <c r="R6">
        <v>1.1200000000000001</v>
      </c>
      <c r="S6">
        <v>1.1200000000000001</v>
      </c>
      <c r="T6">
        <v>1.1100000000000001</v>
      </c>
      <c r="U6">
        <v>1.1100000000000001</v>
      </c>
      <c r="V6">
        <v>5</v>
      </c>
      <c r="W6">
        <v>500.15</v>
      </c>
      <c r="X6">
        <v>560.16999999999996</v>
      </c>
      <c r="Y6">
        <v>250.15</v>
      </c>
      <c r="Z6">
        <v>280.17</v>
      </c>
      <c r="AA6">
        <v>1.1100000000000001</v>
      </c>
      <c r="AB6">
        <v>3.11</v>
      </c>
      <c r="AC6">
        <v>1.18</v>
      </c>
      <c r="AD6">
        <v>3.31</v>
      </c>
      <c r="AE6" t="s">
        <v>219</v>
      </c>
      <c r="AF6">
        <v>1.06</v>
      </c>
      <c r="AG6">
        <v>1.06</v>
      </c>
      <c r="AH6" t="s">
        <v>219</v>
      </c>
      <c r="AI6">
        <v>1.22</v>
      </c>
      <c r="AJ6">
        <v>1.22</v>
      </c>
      <c r="AK6" t="s">
        <v>220</v>
      </c>
      <c r="AL6">
        <v>1.27</v>
      </c>
      <c r="AM6">
        <v>3.54</v>
      </c>
      <c r="AN6" t="s">
        <v>65</v>
      </c>
      <c r="AO6" t="s">
        <v>187</v>
      </c>
      <c r="AP6" t="s">
        <v>188</v>
      </c>
      <c r="AQ6" t="s">
        <v>189</v>
      </c>
      <c r="AR6">
        <v>267.93</v>
      </c>
      <c r="AS6">
        <v>18</v>
      </c>
      <c r="AT6">
        <v>24.11</v>
      </c>
      <c r="AU6">
        <v>24.11</v>
      </c>
      <c r="AV6">
        <v>0</v>
      </c>
      <c r="AW6">
        <v>26.79</v>
      </c>
      <c r="AX6">
        <v>75.010000000000005</v>
      </c>
      <c r="AY6">
        <v>342.94</v>
      </c>
      <c r="AZ6">
        <v>342.94</v>
      </c>
      <c r="BA6" t="s">
        <v>221</v>
      </c>
      <c r="BB6" t="s">
        <v>222</v>
      </c>
      <c r="BC6" t="s">
        <v>223</v>
      </c>
      <c r="BD6" t="s">
        <v>224</v>
      </c>
      <c r="BE6" t="s">
        <v>225</v>
      </c>
      <c r="BF6" t="s">
        <v>226</v>
      </c>
      <c r="BG6" t="s">
        <v>227</v>
      </c>
      <c r="BH6" t="s">
        <v>228</v>
      </c>
      <c r="BI6" t="s">
        <v>229</v>
      </c>
      <c r="BJ6" t="s">
        <v>230</v>
      </c>
      <c r="BK6">
        <v>1.33</v>
      </c>
      <c r="BL6">
        <v>1.38</v>
      </c>
      <c r="BM6">
        <v>1.44</v>
      </c>
      <c r="BN6">
        <v>1.49</v>
      </c>
      <c r="BO6">
        <v>1.55</v>
      </c>
      <c r="BP6" s="1">
        <v>45858</v>
      </c>
      <c r="BQ6" s="1">
        <v>45859</v>
      </c>
      <c r="BR6" s="1">
        <v>45860</v>
      </c>
      <c r="BS6" t="s">
        <v>60</v>
      </c>
      <c r="BT6" t="s">
        <v>60</v>
      </c>
      <c r="BU6" t="s">
        <v>60</v>
      </c>
    </row>
    <row r="8" spans="1:73" s="3" customFormat="1" x14ac:dyDescent="0.25">
      <c r="Z8" s="3">
        <f>Y2*R2</f>
        <v>280.87353000000002</v>
      </c>
      <c r="AB8" s="3">
        <f>$Z8*AA2%</f>
        <v>3.1176961830000005</v>
      </c>
      <c r="AD8" s="3">
        <f>$Z8*AC2%</f>
        <v>3.1457835360000006</v>
      </c>
      <c r="AG8" s="3">
        <f>$Z8*AF2%</f>
        <v>2.8649100060000006</v>
      </c>
      <c r="AJ8" s="3">
        <f>$Z8*AI2%</f>
        <v>3.0053467710000006</v>
      </c>
      <c r="AM8" s="3">
        <f>$Z8*AL2%</f>
        <v>3.4547444190000003</v>
      </c>
      <c r="AR8" s="3">
        <f>$Z8-SUM(AA8:AM8)</f>
        <v>265.28504908500003</v>
      </c>
      <c r="AX8" s="3">
        <f>AR8*AS2%</f>
        <v>31.834205890200003</v>
      </c>
      <c r="AY8" s="3">
        <f>ROUND(AR8+AX8,2)</f>
        <v>297.12</v>
      </c>
    </row>
    <row r="9" spans="1:73" s="3" customFormat="1" x14ac:dyDescent="0.25">
      <c r="Z9" s="3">
        <f>Y3*R3</f>
        <v>281.13488000000001</v>
      </c>
      <c r="AB9" s="3">
        <f t="shared" ref="AB9:AD12" si="0">$Z9*AA3%</f>
        <v>3.1205971680000002</v>
      </c>
      <c r="AD9" s="3">
        <f t="shared" si="0"/>
        <v>3.1768241439999998</v>
      </c>
      <c r="AG9" s="3">
        <f>$Z9*AF3%</f>
        <v>2.895689264</v>
      </c>
      <c r="AJ9" s="3">
        <f>($Z9-$AG9)*AI3%</f>
        <v>3.0049832599488004</v>
      </c>
      <c r="AM9" s="3">
        <f>($Z9-$AG9)*AL3%</f>
        <v>3.4501659651263998</v>
      </c>
      <c r="AR9" s="3">
        <f>$Z9-SUM(AA9:AM9)</f>
        <v>265.48662019892481</v>
      </c>
      <c r="AX9" s="3">
        <f>AR9*AS3%</f>
        <v>31.858394423870976</v>
      </c>
      <c r="AY9" s="3">
        <f>ROUND(AR9+AX9,2)</f>
        <v>297.35000000000002</v>
      </c>
    </row>
    <row r="10" spans="1:73" s="3" customFormat="1" x14ac:dyDescent="0.25">
      <c r="Z10" s="3">
        <f>Y4*R4</f>
        <v>112.74637999999999</v>
      </c>
      <c r="AB10" s="3">
        <f t="shared" si="0"/>
        <v>1.251484818</v>
      </c>
      <c r="AD10" s="3">
        <f t="shared" si="0"/>
        <v>1.3078580079999997</v>
      </c>
      <c r="AG10" s="3">
        <f>($Z10-$AB10-$AD10)*AF4%</f>
        <v>1.1459451866096</v>
      </c>
      <c r="AJ10" s="3">
        <f>($Z10-$AB10-$AD10-$AG10)*AI4%</f>
        <v>1.1885479026625554</v>
      </c>
      <c r="AM10" s="3">
        <f>($Z10-$AB10-$AD10-$AG10)*AL4%</f>
        <v>1.3630136498423802</v>
      </c>
      <c r="AR10" s="3">
        <f>$Z10-SUM(AA10:AM10)</f>
        <v>106.48953043488545</v>
      </c>
      <c r="AX10" s="3">
        <f>AR10*AS4%</f>
        <v>19.168115478279379</v>
      </c>
      <c r="AY10" s="3">
        <f>ROUND(AR10+AX10,2)</f>
        <v>125.66</v>
      </c>
    </row>
    <row r="11" spans="1:73" s="3" customFormat="1" x14ac:dyDescent="0.25">
      <c r="Z11" s="3">
        <f>Y5*R5</f>
        <v>250.14</v>
      </c>
      <c r="AB11" s="3">
        <f t="shared" si="0"/>
        <v>2.776554</v>
      </c>
      <c r="AD11" s="3">
        <f t="shared" si="0"/>
        <v>2.9266379999999996</v>
      </c>
      <c r="AG11" s="3">
        <f>$R5*AF5</f>
        <v>1.05</v>
      </c>
      <c r="AJ11" s="3">
        <f>$R5*AI5</f>
        <v>1.21</v>
      </c>
      <c r="AM11" s="3">
        <f>($Z11-$AG11-$AJ11)*AL5%</f>
        <v>3.1232879999999996</v>
      </c>
      <c r="AR11" s="3">
        <f>$Z11-SUM(AA11:AM11)</f>
        <v>239.05351999999999</v>
      </c>
      <c r="AX11" s="3">
        <f>AR11*AS5%</f>
        <v>28.686422399999998</v>
      </c>
      <c r="AY11" s="3">
        <f>ROUND(AR11+AX11,2)</f>
        <v>267.74</v>
      </c>
    </row>
    <row r="12" spans="1:73" s="3" customFormat="1" x14ac:dyDescent="0.25">
      <c r="Z12" s="3">
        <f>Y6*R6</f>
        <v>280.16800000000001</v>
      </c>
      <c r="AB12" s="3">
        <f t="shared" si="0"/>
        <v>3.1098648000000004</v>
      </c>
      <c r="AD12" s="3">
        <f t="shared" si="0"/>
        <v>3.3059824</v>
      </c>
      <c r="AG12" s="3">
        <f>AF6</f>
        <v>1.06</v>
      </c>
      <c r="AJ12" s="3">
        <f>AI6</f>
        <v>1.22</v>
      </c>
      <c r="AM12" s="3">
        <f>($Z12-$AJ12)*AL6%</f>
        <v>3.5426395999999998</v>
      </c>
      <c r="AR12" s="3">
        <f>$Z12-SUM(AA12:AM12)</f>
        <v>267.92951320000003</v>
      </c>
      <c r="AX12" s="3">
        <f>AR12*AS6%</f>
        <v>48.227312376</v>
      </c>
      <c r="AY12" s="3">
        <f>ROUND(AR12+AX12,2)</f>
        <v>316.16000000000003</v>
      </c>
    </row>
    <row r="13" spans="1:73" s="3" customFormat="1" x14ac:dyDescent="0.25"/>
    <row r="14" spans="1:73" s="3" customFormat="1" x14ac:dyDescent="0.25">
      <c r="Z14" s="3">
        <f>SUM(Z8:Z12)</f>
        <v>1205.0627899999999</v>
      </c>
      <c r="AB14" s="3">
        <f>SUM(AB8:AB12)</f>
        <v>13.376196969000002</v>
      </c>
      <c r="AD14" s="3">
        <f>SUM(AD8:AD12)</f>
        <v>13.863086088000001</v>
      </c>
      <c r="AG14" s="3">
        <f>SUM(AG8:AG12)</f>
        <v>9.0165444566095996</v>
      </c>
      <c r="AJ14" s="3">
        <f>SUM(AJ8:AJ12)</f>
        <v>9.6288779336113564</v>
      </c>
      <c r="AM14" s="3">
        <f>SUM(AM8:AM12)</f>
        <v>14.93385163396878</v>
      </c>
      <c r="AR14" s="3">
        <f>SUM(AR8:AR12)</f>
        <v>1144.2442329188102</v>
      </c>
      <c r="AX14" s="3">
        <f>SUM(AX8:AX12)</f>
        <v>159.77445056835035</v>
      </c>
      <c r="AY14" s="3">
        <f>SUM(AY8:AY12)</f>
        <v>1304.03</v>
      </c>
    </row>
    <row r="15" spans="1:73" s="3" customFormat="1" x14ac:dyDescent="0.25">
      <c r="R15" s="3">
        <f>SUM(R2:R6)</f>
        <v>5.4929999999999994</v>
      </c>
      <c r="T15" s="3">
        <f>SUM(T2:T6)</f>
        <v>5.330000000000001</v>
      </c>
      <c r="Z15" s="3">
        <f>SUM(Z2:Z6)</f>
        <v>1205.06</v>
      </c>
      <c r="AB15" s="3">
        <f>SUM(AB2:AB6)</f>
        <v>13.379999999999999</v>
      </c>
      <c r="AD15" s="3">
        <f>SUM(AD2:AD6)</f>
        <v>13.88</v>
      </c>
      <c r="AG15" s="3">
        <f>SUM(AG2:AG6)</f>
        <v>9.0399999999999991</v>
      </c>
      <c r="AJ15" s="3">
        <f>SUM(AJ2:AJ6)</f>
        <v>9.66</v>
      </c>
      <c r="AM15" s="3">
        <f>SUM(AM2:AM6)</f>
        <v>14.95</v>
      </c>
      <c r="AR15" s="3">
        <f>SUM(AR2:AR6)</f>
        <v>1144.1500000000001</v>
      </c>
      <c r="AT15" s="3">
        <f t="shared" ref="AT15:AY15" si="1">SUM(AT2:AT6)</f>
        <v>79.88</v>
      </c>
      <c r="AU15" s="3">
        <f t="shared" si="1"/>
        <v>79.88</v>
      </c>
      <c r="AV15" s="3">
        <f t="shared" si="1"/>
        <v>0</v>
      </c>
      <c r="AW15" s="3">
        <f t="shared" si="1"/>
        <v>45.120000000000005</v>
      </c>
      <c r="AX15" s="3">
        <f t="shared" si="1"/>
        <v>204.88</v>
      </c>
      <c r="AY15" s="3">
        <f t="shared" si="1"/>
        <v>1349.03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Q16"/>
  <sheetViews>
    <sheetView workbookViewId="0">
      <selection activeCell="C12" sqref="C12:C13"/>
    </sheetView>
  </sheetViews>
  <sheetFormatPr defaultRowHeight="15" x14ac:dyDescent="0.25"/>
  <cols>
    <col min="1" max="1" width="20.42578125" bestFit="1" customWidth="1"/>
    <col min="2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</row>
    <row r="2" spans="1:17" x14ac:dyDescent="0.25">
      <c r="A2" t="s">
        <v>239</v>
      </c>
      <c r="B2" t="s">
        <v>243</v>
      </c>
      <c r="C2" t="s">
        <v>243</v>
      </c>
      <c r="D2" t="s">
        <v>244</v>
      </c>
      <c r="E2" s="2">
        <v>1144.1500000000001</v>
      </c>
      <c r="F2">
        <v>1.6</v>
      </c>
      <c r="G2" t="s">
        <v>65</v>
      </c>
      <c r="H2" s="2">
        <v>18.309999999999999</v>
      </c>
      <c r="I2" s="2">
        <v>18.309999999999999</v>
      </c>
      <c r="J2">
        <v>18.309999999999999</v>
      </c>
      <c r="K2">
        <v>0</v>
      </c>
      <c r="L2">
        <v>0</v>
      </c>
      <c r="M2" t="s">
        <v>245</v>
      </c>
      <c r="N2" t="s">
        <v>246</v>
      </c>
      <c r="O2" t="s">
        <v>247</v>
      </c>
      <c r="P2" t="s">
        <v>248</v>
      </c>
      <c r="Q2" t="s">
        <v>249</v>
      </c>
    </row>
    <row r="3" spans="1:17" x14ac:dyDescent="0.25">
      <c r="A3" t="s">
        <v>239</v>
      </c>
      <c r="B3" t="s">
        <v>250</v>
      </c>
      <c r="C3" t="s">
        <v>250</v>
      </c>
      <c r="D3" t="s">
        <v>251</v>
      </c>
      <c r="E3">
        <v>1205.06</v>
      </c>
      <c r="F3">
        <v>1.56</v>
      </c>
      <c r="G3" t="s">
        <v>65</v>
      </c>
      <c r="H3">
        <v>18.8</v>
      </c>
      <c r="I3">
        <v>18.8</v>
      </c>
      <c r="J3">
        <v>18.8</v>
      </c>
      <c r="K3">
        <v>0</v>
      </c>
      <c r="L3">
        <v>0</v>
      </c>
      <c r="M3" t="s">
        <v>252</v>
      </c>
      <c r="N3" t="s">
        <v>253</v>
      </c>
      <c r="O3" t="s">
        <v>254</v>
      </c>
      <c r="P3" t="s">
        <v>255</v>
      </c>
      <c r="Q3" t="s">
        <v>256</v>
      </c>
    </row>
    <row r="4" spans="1:17" x14ac:dyDescent="0.25">
      <c r="A4" t="s">
        <v>241</v>
      </c>
      <c r="B4" t="s">
        <v>257</v>
      </c>
      <c r="C4" t="s">
        <v>257</v>
      </c>
      <c r="D4" t="s">
        <v>244</v>
      </c>
      <c r="E4" s="2">
        <v>1144.1500000000001</v>
      </c>
      <c r="F4">
        <v>1.57</v>
      </c>
      <c r="G4" t="s">
        <v>65</v>
      </c>
      <c r="H4">
        <v>17.96</v>
      </c>
      <c r="I4">
        <v>0</v>
      </c>
      <c r="J4">
        <v>0</v>
      </c>
      <c r="K4" s="2">
        <v>17.96</v>
      </c>
      <c r="L4">
        <v>17.96</v>
      </c>
      <c r="M4" t="s">
        <v>258</v>
      </c>
      <c r="N4" t="s">
        <v>259</v>
      </c>
      <c r="O4" t="s">
        <v>260</v>
      </c>
      <c r="P4" t="s">
        <v>261</v>
      </c>
      <c r="Q4" t="s">
        <v>262</v>
      </c>
    </row>
    <row r="5" spans="1:17" x14ac:dyDescent="0.25">
      <c r="A5" t="s">
        <v>241</v>
      </c>
      <c r="B5" t="s">
        <v>263</v>
      </c>
      <c r="C5" t="s">
        <v>263</v>
      </c>
      <c r="D5" t="s">
        <v>264</v>
      </c>
      <c r="E5" s="2">
        <v>1349.03</v>
      </c>
      <c r="F5">
        <v>1.58</v>
      </c>
      <c r="G5" t="s">
        <v>65</v>
      </c>
      <c r="H5">
        <v>21.31</v>
      </c>
      <c r="I5">
        <v>0</v>
      </c>
      <c r="J5">
        <v>0</v>
      </c>
      <c r="K5" s="2">
        <v>21.31</v>
      </c>
      <c r="L5">
        <v>21.31</v>
      </c>
      <c r="M5" t="s">
        <v>265</v>
      </c>
      <c r="N5" t="s">
        <v>266</v>
      </c>
      <c r="O5" t="s">
        <v>267</v>
      </c>
      <c r="P5" t="s">
        <v>268</v>
      </c>
      <c r="Q5" t="s">
        <v>269</v>
      </c>
    </row>
    <row r="6" spans="1:17" x14ac:dyDescent="0.25">
      <c r="A6" t="s">
        <v>241</v>
      </c>
      <c r="B6" t="s">
        <v>270</v>
      </c>
      <c r="C6" t="s">
        <v>270</v>
      </c>
      <c r="D6" t="s">
        <v>271</v>
      </c>
      <c r="E6" s="2">
        <v>1346.87</v>
      </c>
      <c r="F6">
        <v>1.59</v>
      </c>
      <c r="G6" t="s">
        <v>65</v>
      </c>
      <c r="H6">
        <v>21.42</v>
      </c>
      <c r="I6">
        <v>0</v>
      </c>
      <c r="J6">
        <v>0</v>
      </c>
      <c r="K6" s="2">
        <v>21.42</v>
      </c>
      <c r="L6">
        <v>21.42</v>
      </c>
      <c r="M6" t="s">
        <v>272</v>
      </c>
      <c r="N6" t="s">
        <v>273</v>
      </c>
      <c r="O6" t="s">
        <v>274</v>
      </c>
      <c r="P6" t="s">
        <v>275</v>
      </c>
      <c r="Q6" t="s">
        <v>276</v>
      </c>
    </row>
    <row r="8" spans="1:17" s="3" customFormat="1" x14ac:dyDescent="0.25">
      <c r="E8" s="3">
        <f>SUM(E2:E6)</f>
        <v>6189.26</v>
      </c>
      <c r="H8" s="3">
        <f>SUM(H2:H6)</f>
        <v>97.8</v>
      </c>
      <c r="I8" s="3">
        <f>SUM(I2:I6)</f>
        <v>37.11</v>
      </c>
      <c r="K8" s="3">
        <f>SUM(K2:K6)</f>
        <v>60.69</v>
      </c>
    </row>
    <row r="9" spans="1:17" s="3" customFormat="1" x14ac:dyDescent="0.25"/>
    <row r="10" spans="1:17" s="3" customFormat="1" x14ac:dyDescent="0.25">
      <c r="E10" s="3">
        <f>Items!$AR$14</f>
        <v>1144.2442329188102</v>
      </c>
      <c r="H10" s="3">
        <f>E10*F2%</f>
        <v>18.307907726700964</v>
      </c>
      <c r="I10" s="3">
        <f>H10</f>
        <v>18.307907726700964</v>
      </c>
    </row>
    <row r="11" spans="1:17" s="3" customFormat="1" x14ac:dyDescent="0.25">
      <c r="E11" s="3">
        <f>Items!$Z$14</f>
        <v>1205.0627899999999</v>
      </c>
      <c r="H11" s="3">
        <f>E11*F3%</f>
        <v>18.798979524</v>
      </c>
      <c r="I11" s="3">
        <f>H11</f>
        <v>18.798979524</v>
      </c>
    </row>
    <row r="12" spans="1:17" s="3" customFormat="1" x14ac:dyDescent="0.25">
      <c r="E12" s="3">
        <f>Items!$AR$14</f>
        <v>1144.2442329188102</v>
      </c>
      <c r="H12" s="3">
        <f>E12*F4%</f>
        <v>17.964634456825323</v>
      </c>
      <c r="K12" s="3">
        <f>H12</f>
        <v>17.964634456825323</v>
      </c>
    </row>
    <row r="13" spans="1:17" s="3" customFormat="1" x14ac:dyDescent="0.25">
      <c r="E13" s="3">
        <f>Items!$AY$14</f>
        <v>1304.03</v>
      </c>
      <c r="H13" s="3">
        <f>E13*F5%</f>
        <v>20.603674000000002</v>
      </c>
      <c r="K13" s="3">
        <f>H13</f>
        <v>20.603674000000002</v>
      </c>
    </row>
    <row r="14" spans="1:17" s="3" customFormat="1" x14ac:dyDescent="0.25">
      <c r="E14" s="3">
        <f>Items!$AY$14</f>
        <v>1304.03</v>
      </c>
      <c r="H14" s="3">
        <f>E14*F6%</f>
        <v>20.734076999999999</v>
      </c>
      <c r="K14" s="3">
        <f>H14</f>
        <v>20.734076999999999</v>
      </c>
    </row>
    <row r="15" spans="1:17" s="3" customFormat="1" x14ac:dyDescent="0.25"/>
    <row r="16" spans="1:17" s="3" customFormat="1" x14ac:dyDescent="0.25">
      <c r="E16" s="3">
        <f>SUM(E10:E14)</f>
        <v>6101.6112558376199</v>
      </c>
      <c r="H16" s="3">
        <f>SUM(H10:H14)</f>
        <v>96.409272707526284</v>
      </c>
      <c r="I16" s="3">
        <f>SUM(I10:I14)</f>
        <v>37.106887250700964</v>
      </c>
      <c r="K16" s="3">
        <f>SUM(K10:K14)</f>
        <v>59.30238545682532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Z6"/>
  <sheetViews>
    <sheetView workbookViewId="0"/>
  </sheetViews>
  <sheetFormatPr defaultRowHeight="15" x14ac:dyDescent="0.25"/>
  <cols>
    <col min="1" max="2" width="16.7109375" bestFit="1" customWidth="1"/>
    <col min="3" max="3" width="10.140625" bestFit="1" customWidth="1"/>
    <col min="4" max="4" width="16.140625" bestFit="1" customWidth="1"/>
    <col min="5" max="5" width="5.42578125" bestFit="1" customWidth="1"/>
    <col min="6" max="6" width="8.7109375" bestFit="1" customWidth="1"/>
    <col min="7" max="7" width="11.85546875" bestFit="1" customWidth="1"/>
    <col min="8" max="8" width="8.140625" bestFit="1" customWidth="1"/>
    <col min="9" max="9" width="26.5703125" bestFit="1" customWidth="1"/>
    <col min="10" max="10" width="14.5703125" bestFit="1" customWidth="1"/>
    <col min="11" max="11" width="19.28515625" bestFit="1" customWidth="1"/>
    <col min="12" max="12" width="20.140625" bestFit="1" customWidth="1"/>
    <col min="13" max="13" width="19.42578125" bestFit="1" customWidth="1"/>
    <col min="14" max="14" width="14.42578125" bestFit="1" customWidth="1"/>
    <col min="15" max="15" width="5.42578125" bestFit="1" customWidth="1"/>
    <col min="16" max="16" width="5.28515625" bestFit="1" customWidth="1"/>
    <col min="17" max="17" width="4.85546875" bestFit="1" customWidth="1"/>
    <col min="18" max="18" width="5.140625" bestFit="1" customWidth="1"/>
    <col min="19" max="20" width="11.42578125" bestFit="1" customWidth="1"/>
    <col min="21" max="21" width="30" bestFit="1" customWidth="1"/>
    <col min="22" max="22" width="14.28515625" bestFit="1" customWidth="1"/>
    <col min="23" max="23" width="10.5703125" bestFit="1" customWidth="1"/>
    <col min="24" max="24" width="15" bestFit="1" customWidth="1"/>
    <col min="25" max="25" width="13.85546875" bestFit="1" customWidth="1"/>
    <col min="26" max="26" width="13.42578125" bestFit="1" customWidth="1"/>
  </cols>
  <sheetData>
    <row r="1" spans="1:26" x14ac:dyDescent="0.25">
      <c r="A1" t="s">
        <v>232</v>
      </c>
      <c r="B1" t="s">
        <v>233</v>
      </c>
      <c r="C1" t="s">
        <v>83</v>
      </c>
      <c r="D1" t="s">
        <v>84</v>
      </c>
      <c r="E1" t="s">
        <v>91</v>
      </c>
      <c r="F1" t="s">
        <v>94</v>
      </c>
      <c r="G1" t="s">
        <v>115</v>
      </c>
      <c r="H1" t="s">
        <v>238</v>
      </c>
      <c r="I1" t="s">
        <v>277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8</v>
      </c>
      <c r="P1" t="s">
        <v>9</v>
      </c>
      <c r="Q1" t="s">
        <v>10</v>
      </c>
      <c r="R1" t="s">
        <v>11</v>
      </c>
      <c r="S1" t="s">
        <v>122</v>
      </c>
      <c r="T1" t="s">
        <v>124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</row>
    <row r="2" spans="1:26" x14ac:dyDescent="0.25">
      <c r="A2" t="s">
        <v>278</v>
      </c>
      <c r="B2" t="s">
        <v>278</v>
      </c>
      <c r="C2" t="s">
        <v>279</v>
      </c>
      <c r="D2" t="s">
        <v>280</v>
      </c>
      <c r="E2" t="s">
        <v>152</v>
      </c>
      <c r="F2">
        <v>1</v>
      </c>
      <c r="G2" t="s">
        <v>65</v>
      </c>
      <c r="H2">
        <v>1.49</v>
      </c>
      <c r="I2">
        <v>1.49</v>
      </c>
      <c r="J2" t="s">
        <v>281</v>
      </c>
      <c r="K2" t="s">
        <v>282</v>
      </c>
      <c r="L2" t="s">
        <v>157</v>
      </c>
      <c r="M2">
        <v>1.49</v>
      </c>
      <c r="N2">
        <v>1.5</v>
      </c>
      <c r="O2">
        <v>0.01</v>
      </c>
      <c r="P2">
        <v>0.01</v>
      </c>
      <c r="Q2">
        <v>0</v>
      </c>
      <c r="R2">
        <v>0.01</v>
      </c>
      <c r="S2">
        <v>0.03</v>
      </c>
      <c r="T2">
        <v>1.52</v>
      </c>
      <c r="U2">
        <v>1.52</v>
      </c>
      <c r="V2" t="s">
        <v>283</v>
      </c>
      <c r="W2" t="s">
        <v>284</v>
      </c>
      <c r="X2" t="s">
        <v>285</v>
      </c>
      <c r="Y2" t="s">
        <v>286</v>
      </c>
      <c r="Z2" t="s">
        <v>287</v>
      </c>
    </row>
    <row r="3" spans="1:26" x14ac:dyDescent="0.25">
      <c r="A3" t="s">
        <v>288</v>
      </c>
      <c r="B3" t="s">
        <v>288</v>
      </c>
      <c r="C3" t="s">
        <v>183</v>
      </c>
      <c r="D3" t="s">
        <v>151</v>
      </c>
      <c r="E3" t="s">
        <v>152</v>
      </c>
      <c r="F3">
        <v>1</v>
      </c>
      <c r="G3" t="s">
        <v>65</v>
      </c>
      <c r="H3">
        <v>1.45</v>
      </c>
      <c r="I3">
        <v>1.45</v>
      </c>
      <c r="J3" t="s">
        <v>187</v>
      </c>
      <c r="K3" t="s">
        <v>188</v>
      </c>
      <c r="L3" t="s">
        <v>189</v>
      </c>
      <c r="M3">
        <v>1.45</v>
      </c>
      <c r="N3">
        <v>18</v>
      </c>
      <c r="O3">
        <v>0.13</v>
      </c>
      <c r="P3">
        <v>0.13</v>
      </c>
      <c r="Q3">
        <v>0</v>
      </c>
      <c r="R3">
        <v>0.15</v>
      </c>
      <c r="S3">
        <v>0.41</v>
      </c>
      <c r="T3">
        <v>1.86</v>
      </c>
      <c r="U3">
        <v>1.86</v>
      </c>
      <c r="V3" t="s">
        <v>289</v>
      </c>
      <c r="W3" t="s">
        <v>290</v>
      </c>
      <c r="X3" t="s">
        <v>291</v>
      </c>
      <c r="Y3" t="s">
        <v>292</v>
      </c>
      <c r="Z3" t="s">
        <v>293</v>
      </c>
    </row>
    <row r="4" spans="1:26" x14ac:dyDescent="0.25">
      <c r="A4" t="s">
        <v>294</v>
      </c>
      <c r="B4" t="s">
        <v>294</v>
      </c>
      <c r="C4" t="s">
        <v>295</v>
      </c>
      <c r="D4" t="s">
        <v>151</v>
      </c>
      <c r="E4" t="s">
        <v>152</v>
      </c>
      <c r="F4">
        <v>1</v>
      </c>
      <c r="G4" t="s">
        <v>65</v>
      </c>
      <c r="H4">
        <v>1.46</v>
      </c>
      <c r="I4">
        <v>1.46</v>
      </c>
      <c r="J4" t="s">
        <v>296</v>
      </c>
      <c r="K4" t="s">
        <v>156</v>
      </c>
      <c r="L4" t="s">
        <v>157</v>
      </c>
      <c r="M4">
        <v>1.46</v>
      </c>
      <c r="N4">
        <v>12</v>
      </c>
      <c r="O4">
        <v>0.09</v>
      </c>
      <c r="P4">
        <v>0.09</v>
      </c>
      <c r="Q4">
        <v>0</v>
      </c>
      <c r="R4">
        <v>0.01</v>
      </c>
      <c r="S4">
        <v>0.19</v>
      </c>
      <c r="T4">
        <v>1.65</v>
      </c>
      <c r="U4">
        <v>1.65</v>
      </c>
      <c r="V4" t="s">
        <v>297</v>
      </c>
      <c r="W4" t="s">
        <v>298</v>
      </c>
      <c r="X4" t="s">
        <v>299</v>
      </c>
      <c r="Y4" t="s">
        <v>300</v>
      </c>
      <c r="Z4" t="s">
        <v>301</v>
      </c>
    </row>
    <row r="5" spans="1:26" x14ac:dyDescent="0.25">
      <c r="A5" t="s">
        <v>302</v>
      </c>
      <c r="B5" t="s">
        <v>302</v>
      </c>
      <c r="C5" t="s">
        <v>303</v>
      </c>
      <c r="D5" t="s">
        <v>151</v>
      </c>
      <c r="E5" t="s">
        <v>152</v>
      </c>
      <c r="F5">
        <v>1</v>
      </c>
      <c r="G5" t="s">
        <v>65</v>
      </c>
      <c r="H5">
        <v>1.47</v>
      </c>
      <c r="I5">
        <v>1.47</v>
      </c>
      <c r="J5" t="s">
        <v>304</v>
      </c>
      <c r="K5" t="s">
        <v>305</v>
      </c>
      <c r="L5" t="s">
        <v>306</v>
      </c>
      <c r="M5">
        <v>1.47</v>
      </c>
      <c r="N5">
        <v>28</v>
      </c>
      <c r="O5">
        <v>0.21</v>
      </c>
      <c r="P5">
        <v>0.21</v>
      </c>
      <c r="Q5">
        <v>0</v>
      </c>
      <c r="R5">
        <v>0.22</v>
      </c>
      <c r="S5">
        <v>0.64</v>
      </c>
      <c r="T5">
        <v>2.11</v>
      </c>
      <c r="U5">
        <v>2.11</v>
      </c>
      <c r="V5" t="s">
        <v>307</v>
      </c>
      <c r="W5" t="s">
        <v>308</v>
      </c>
      <c r="X5" t="s">
        <v>309</v>
      </c>
      <c r="Y5" t="s">
        <v>310</v>
      </c>
      <c r="Z5" t="s">
        <v>311</v>
      </c>
    </row>
    <row r="6" spans="1:26" x14ac:dyDescent="0.25">
      <c r="A6" t="s">
        <v>312</v>
      </c>
      <c r="B6" t="s">
        <v>312</v>
      </c>
      <c r="C6" t="s">
        <v>313</v>
      </c>
      <c r="D6" t="s">
        <v>151</v>
      </c>
      <c r="E6" t="s">
        <v>152</v>
      </c>
      <c r="F6">
        <v>1</v>
      </c>
      <c r="G6" t="s">
        <v>65</v>
      </c>
      <c r="H6">
        <v>1.48</v>
      </c>
      <c r="I6">
        <v>1.48</v>
      </c>
      <c r="J6" t="s">
        <v>314</v>
      </c>
      <c r="K6" t="s">
        <v>315</v>
      </c>
      <c r="L6" t="s">
        <v>157</v>
      </c>
      <c r="M6">
        <v>1.48</v>
      </c>
      <c r="N6">
        <v>3</v>
      </c>
      <c r="O6">
        <v>0.02</v>
      </c>
      <c r="P6">
        <v>0.02</v>
      </c>
      <c r="Q6">
        <v>0</v>
      </c>
      <c r="R6">
        <v>0.01</v>
      </c>
      <c r="S6">
        <v>0.05</v>
      </c>
      <c r="T6">
        <v>1.53</v>
      </c>
      <c r="U6">
        <v>1.53</v>
      </c>
      <c r="V6" t="s">
        <v>316</v>
      </c>
      <c r="W6" t="s">
        <v>317</v>
      </c>
      <c r="X6" t="s">
        <v>318</v>
      </c>
      <c r="Y6" t="s">
        <v>319</v>
      </c>
      <c r="Z6" t="s">
        <v>320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F3"/>
  <sheetViews>
    <sheetView workbookViewId="0"/>
  </sheetViews>
  <sheetFormatPr defaultRowHeight="15" x14ac:dyDescent="0.25"/>
  <cols>
    <col min="1" max="1" width="20.42578125" bestFit="1" customWidth="1"/>
    <col min="2" max="2" width="27.28515625" bestFit="1" customWidth="1"/>
    <col min="3" max="3" width="32.5703125" bestFit="1" customWidth="1"/>
    <col min="4" max="4" width="18.7109375" bestFit="1" customWidth="1"/>
    <col min="5" max="5" width="8.7109375" bestFit="1" customWidth="1"/>
    <col min="6" max="6" width="12.7109375" bestFit="1" customWidth="1"/>
  </cols>
  <sheetData>
    <row r="1" spans="1:6" x14ac:dyDescent="0.25">
      <c r="A1" t="s">
        <v>81</v>
      </c>
      <c r="B1" t="s">
        <v>321</v>
      </c>
      <c r="C1" t="s">
        <v>322</v>
      </c>
      <c r="D1" t="s">
        <v>323</v>
      </c>
      <c r="E1" t="s">
        <v>94</v>
      </c>
      <c r="F1" t="s">
        <v>96</v>
      </c>
    </row>
    <row r="2" spans="1:6" x14ac:dyDescent="0.25">
      <c r="A2" t="s">
        <v>200</v>
      </c>
      <c r="B2" t="s">
        <v>202</v>
      </c>
      <c r="C2" t="s">
        <v>153</v>
      </c>
      <c r="D2" t="s">
        <v>324</v>
      </c>
      <c r="E2">
        <v>1</v>
      </c>
      <c r="F2">
        <v>0</v>
      </c>
    </row>
    <row r="3" spans="1:6" x14ac:dyDescent="0.25">
      <c r="A3" t="s">
        <v>200</v>
      </c>
      <c r="B3" t="s">
        <v>202</v>
      </c>
      <c r="C3" t="s">
        <v>153</v>
      </c>
      <c r="D3" t="s">
        <v>325</v>
      </c>
      <c r="E3">
        <v>0</v>
      </c>
      <c r="F3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W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23.5703125" bestFit="1" customWidth="1"/>
    <col min="14" max="14" width="19.7109375" bestFit="1" customWidth="1"/>
    <col min="15" max="15" width="11.140625" bestFit="1" customWidth="1"/>
    <col min="16" max="16" width="18.5703125" bestFit="1" customWidth="1"/>
    <col min="17" max="17" width="14.5703125" bestFit="1" customWidth="1"/>
    <col min="18" max="18" width="22" bestFit="1" customWidth="1"/>
    <col min="19" max="19" width="24.140625" bestFit="1" customWidth="1"/>
    <col min="20" max="20" width="15.7109375" bestFit="1" customWidth="1"/>
    <col min="21" max="21" width="14.85546875" bestFit="1" customWidth="1"/>
    <col min="22" max="22" width="20.85546875" bestFit="1" customWidth="1"/>
    <col min="23" max="23" width="15.7109375" bestFit="1" customWidth="1"/>
  </cols>
  <sheetData>
    <row r="1" spans="1:23" x14ac:dyDescent="0.25">
      <c r="A1" t="s">
        <v>326</v>
      </c>
      <c r="B1" t="s">
        <v>327</v>
      </c>
      <c r="C1" t="s">
        <v>118</v>
      </c>
      <c r="D1" t="s">
        <v>328</v>
      </c>
      <c r="E1" t="s">
        <v>234</v>
      </c>
      <c r="F1" t="s">
        <v>329</v>
      </c>
      <c r="G1" t="s">
        <v>330</v>
      </c>
      <c r="H1" t="s">
        <v>331</v>
      </c>
      <c r="I1" t="s">
        <v>94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</row>
    <row r="2" spans="1:23" x14ac:dyDescent="0.25">
      <c r="A2" t="s">
        <v>8</v>
      </c>
      <c r="B2" t="s">
        <v>346</v>
      </c>
      <c r="C2" t="s">
        <v>282</v>
      </c>
      <c r="D2">
        <v>0.75</v>
      </c>
      <c r="E2" t="s">
        <v>347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>
        <v>0</v>
      </c>
      <c r="M2" t="s">
        <v>348</v>
      </c>
      <c r="N2" t="s">
        <v>65</v>
      </c>
      <c r="O2">
        <v>0</v>
      </c>
      <c r="P2">
        <v>0</v>
      </c>
      <c r="Q2">
        <v>0</v>
      </c>
      <c r="R2">
        <v>0</v>
      </c>
      <c r="S2" t="s">
        <v>65</v>
      </c>
      <c r="T2" t="s">
        <v>71</v>
      </c>
      <c r="U2">
        <v>0</v>
      </c>
      <c r="V2">
        <v>0</v>
      </c>
      <c r="W2">
        <v>2101</v>
      </c>
    </row>
    <row r="3" spans="1:23" x14ac:dyDescent="0.25">
      <c r="A3" t="s">
        <v>8</v>
      </c>
      <c r="B3" t="s">
        <v>346</v>
      </c>
      <c r="C3" t="s">
        <v>188</v>
      </c>
      <c r="D3">
        <v>9</v>
      </c>
      <c r="E3" t="s">
        <v>347</v>
      </c>
      <c r="F3">
        <v>0</v>
      </c>
      <c r="G3">
        <v>0</v>
      </c>
      <c r="H3">
        <v>1.45</v>
      </c>
      <c r="I3">
        <v>0</v>
      </c>
      <c r="J3">
        <v>0.13</v>
      </c>
      <c r="K3">
        <v>0.13</v>
      </c>
      <c r="L3">
        <v>0</v>
      </c>
      <c r="M3" t="s">
        <v>348</v>
      </c>
      <c r="N3" t="s">
        <v>65</v>
      </c>
      <c r="O3">
        <v>0</v>
      </c>
      <c r="P3">
        <v>0</v>
      </c>
      <c r="Q3">
        <v>0</v>
      </c>
      <c r="R3">
        <v>0</v>
      </c>
      <c r="S3" t="s">
        <v>65</v>
      </c>
      <c r="T3" t="s">
        <v>71</v>
      </c>
      <c r="U3">
        <v>0</v>
      </c>
      <c r="V3">
        <v>0</v>
      </c>
      <c r="W3">
        <v>2101</v>
      </c>
    </row>
    <row r="4" spans="1:23" x14ac:dyDescent="0.25">
      <c r="A4" t="s">
        <v>8</v>
      </c>
      <c r="B4" t="s">
        <v>346</v>
      </c>
      <c r="C4" t="s">
        <v>156</v>
      </c>
      <c r="D4">
        <v>6</v>
      </c>
      <c r="E4" t="s">
        <v>347</v>
      </c>
      <c r="F4">
        <v>0</v>
      </c>
      <c r="G4">
        <v>0</v>
      </c>
      <c r="H4">
        <v>1.46</v>
      </c>
      <c r="I4">
        <v>0</v>
      </c>
      <c r="J4">
        <v>0.09</v>
      </c>
      <c r="K4">
        <v>0.09</v>
      </c>
      <c r="L4">
        <v>0</v>
      </c>
      <c r="M4" t="s">
        <v>348</v>
      </c>
      <c r="N4" t="s">
        <v>65</v>
      </c>
      <c r="O4">
        <v>0</v>
      </c>
      <c r="P4">
        <v>0</v>
      </c>
      <c r="Q4">
        <v>0</v>
      </c>
      <c r="R4">
        <v>0</v>
      </c>
      <c r="S4" t="s">
        <v>65</v>
      </c>
      <c r="T4" t="s">
        <v>71</v>
      </c>
      <c r="U4">
        <v>0</v>
      </c>
      <c r="V4">
        <v>0</v>
      </c>
      <c r="W4">
        <v>2101</v>
      </c>
    </row>
    <row r="5" spans="1:23" x14ac:dyDescent="0.25">
      <c r="A5" t="s">
        <v>8</v>
      </c>
      <c r="B5" t="s">
        <v>346</v>
      </c>
      <c r="C5" t="s">
        <v>305</v>
      </c>
      <c r="D5">
        <v>14</v>
      </c>
      <c r="E5" t="s">
        <v>347</v>
      </c>
      <c r="F5">
        <v>0</v>
      </c>
      <c r="G5">
        <v>0</v>
      </c>
      <c r="H5">
        <v>1.47</v>
      </c>
      <c r="I5">
        <v>0</v>
      </c>
      <c r="J5">
        <v>0.21</v>
      </c>
      <c r="K5">
        <v>0.21</v>
      </c>
      <c r="L5">
        <v>0</v>
      </c>
      <c r="M5" t="s">
        <v>348</v>
      </c>
      <c r="N5" t="s">
        <v>65</v>
      </c>
      <c r="O5">
        <v>0</v>
      </c>
      <c r="P5">
        <v>0</v>
      </c>
      <c r="Q5">
        <v>0</v>
      </c>
      <c r="R5">
        <v>0</v>
      </c>
      <c r="S5" t="s">
        <v>65</v>
      </c>
      <c r="T5" t="s">
        <v>71</v>
      </c>
      <c r="U5">
        <v>0</v>
      </c>
      <c r="V5">
        <v>0</v>
      </c>
      <c r="W5">
        <v>2101</v>
      </c>
    </row>
    <row r="6" spans="1:23" x14ac:dyDescent="0.25">
      <c r="A6" t="s">
        <v>8</v>
      </c>
      <c r="B6" t="s">
        <v>346</v>
      </c>
      <c r="C6" t="s">
        <v>315</v>
      </c>
      <c r="D6">
        <v>1.5</v>
      </c>
      <c r="E6" t="s">
        <v>347</v>
      </c>
      <c r="F6">
        <v>0</v>
      </c>
      <c r="G6">
        <v>0</v>
      </c>
      <c r="H6">
        <v>1.48</v>
      </c>
      <c r="I6">
        <v>0</v>
      </c>
      <c r="J6">
        <v>0.02</v>
      </c>
      <c r="K6">
        <v>0.02</v>
      </c>
      <c r="L6">
        <v>0</v>
      </c>
      <c r="M6" t="s">
        <v>348</v>
      </c>
      <c r="N6" t="s">
        <v>65</v>
      </c>
      <c r="O6">
        <v>0</v>
      </c>
      <c r="P6">
        <v>0</v>
      </c>
      <c r="Q6">
        <v>0</v>
      </c>
      <c r="R6">
        <v>0</v>
      </c>
      <c r="S6" t="s">
        <v>65</v>
      </c>
      <c r="T6" t="s">
        <v>71</v>
      </c>
      <c r="U6">
        <v>0</v>
      </c>
      <c r="V6">
        <v>0</v>
      </c>
      <c r="W6">
        <v>2101</v>
      </c>
    </row>
    <row r="7" spans="1:23" x14ac:dyDescent="0.25">
      <c r="A7" t="s">
        <v>8</v>
      </c>
      <c r="B7" t="s">
        <v>346</v>
      </c>
      <c r="C7" t="s">
        <v>156</v>
      </c>
      <c r="D7">
        <v>6</v>
      </c>
      <c r="E7" t="s">
        <v>347</v>
      </c>
      <c r="F7">
        <v>0</v>
      </c>
      <c r="G7">
        <v>0</v>
      </c>
      <c r="H7">
        <v>265.27999999999997</v>
      </c>
      <c r="I7">
        <v>1.123</v>
      </c>
      <c r="J7">
        <v>15.92</v>
      </c>
      <c r="K7">
        <v>15.92</v>
      </c>
      <c r="L7">
        <v>0</v>
      </c>
      <c r="M7" t="s">
        <v>348</v>
      </c>
      <c r="N7" t="s">
        <v>65</v>
      </c>
      <c r="O7">
        <v>0</v>
      </c>
      <c r="P7">
        <v>0</v>
      </c>
      <c r="Q7">
        <v>0</v>
      </c>
      <c r="R7">
        <v>0</v>
      </c>
      <c r="S7" t="s">
        <v>65</v>
      </c>
      <c r="T7" t="s">
        <v>71</v>
      </c>
      <c r="U7">
        <v>0</v>
      </c>
      <c r="V7">
        <v>0</v>
      </c>
      <c r="W7">
        <v>2101</v>
      </c>
    </row>
    <row r="8" spans="1:23" x14ac:dyDescent="0.25">
      <c r="A8" t="s">
        <v>8</v>
      </c>
      <c r="B8" t="s">
        <v>346</v>
      </c>
      <c r="C8" t="s">
        <v>156</v>
      </c>
      <c r="D8">
        <v>6</v>
      </c>
      <c r="E8" t="s">
        <v>347</v>
      </c>
      <c r="F8">
        <v>0</v>
      </c>
      <c r="G8">
        <v>0</v>
      </c>
      <c r="H8">
        <v>265.48</v>
      </c>
      <c r="I8">
        <v>1.1240000000000001</v>
      </c>
      <c r="J8">
        <v>15.93</v>
      </c>
      <c r="K8">
        <v>15.93</v>
      </c>
      <c r="L8">
        <v>0</v>
      </c>
      <c r="M8" t="s">
        <v>348</v>
      </c>
      <c r="N8" t="s">
        <v>65</v>
      </c>
      <c r="O8">
        <v>0</v>
      </c>
      <c r="P8">
        <v>0</v>
      </c>
      <c r="Q8">
        <v>0</v>
      </c>
      <c r="R8">
        <v>0</v>
      </c>
      <c r="S8" t="s">
        <v>65</v>
      </c>
      <c r="T8" t="s">
        <v>71</v>
      </c>
      <c r="U8">
        <v>0</v>
      </c>
      <c r="V8">
        <v>0</v>
      </c>
      <c r="W8">
        <v>2101</v>
      </c>
    </row>
    <row r="9" spans="1:23" x14ac:dyDescent="0.25">
      <c r="A9" t="s">
        <v>8</v>
      </c>
      <c r="B9" t="s">
        <v>346</v>
      </c>
      <c r="C9" t="s">
        <v>188</v>
      </c>
      <c r="D9">
        <v>9</v>
      </c>
      <c r="E9" t="s">
        <v>347</v>
      </c>
      <c r="F9">
        <v>0</v>
      </c>
      <c r="G9">
        <v>0</v>
      </c>
      <c r="H9">
        <v>106.41</v>
      </c>
      <c r="I9">
        <v>1.1259999999999999</v>
      </c>
      <c r="J9">
        <v>9.58</v>
      </c>
      <c r="K9">
        <v>9.58</v>
      </c>
      <c r="L9">
        <v>0</v>
      </c>
      <c r="M9" t="s">
        <v>348</v>
      </c>
      <c r="N9" t="s">
        <v>65</v>
      </c>
      <c r="O9">
        <v>0</v>
      </c>
      <c r="P9">
        <v>0</v>
      </c>
      <c r="Q9">
        <v>0</v>
      </c>
      <c r="R9">
        <v>0</v>
      </c>
      <c r="S9" t="s">
        <v>65</v>
      </c>
      <c r="T9" t="s">
        <v>71</v>
      </c>
      <c r="U9">
        <v>0</v>
      </c>
      <c r="V9">
        <v>0</v>
      </c>
      <c r="W9">
        <v>2101</v>
      </c>
    </row>
    <row r="10" spans="1:23" x14ac:dyDescent="0.25">
      <c r="A10" t="s">
        <v>8</v>
      </c>
      <c r="B10" t="s">
        <v>346</v>
      </c>
      <c r="C10" t="s">
        <v>156</v>
      </c>
      <c r="D10">
        <v>6</v>
      </c>
      <c r="E10" t="s">
        <v>347</v>
      </c>
      <c r="F10">
        <v>0</v>
      </c>
      <c r="G10">
        <v>0</v>
      </c>
      <c r="H10">
        <v>239.05</v>
      </c>
      <c r="I10">
        <v>1</v>
      </c>
      <c r="J10">
        <v>14.34</v>
      </c>
      <c r="K10">
        <v>14.34</v>
      </c>
      <c r="L10">
        <v>0</v>
      </c>
      <c r="M10" t="s">
        <v>348</v>
      </c>
      <c r="N10" t="s">
        <v>65</v>
      </c>
      <c r="O10">
        <v>0</v>
      </c>
      <c r="P10">
        <v>0</v>
      </c>
      <c r="Q10">
        <v>0</v>
      </c>
      <c r="R10">
        <v>0</v>
      </c>
      <c r="S10" t="s">
        <v>65</v>
      </c>
      <c r="T10" t="s">
        <v>71</v>
      </c>
      <c r="U10">
        <v>0</v>
      </c>
      <c r="V10">
        <v>0</v>
      </c>
      <c r="W10">
        <v>2101</v>
      </c>
    </row>
    <row r="11" spans="1:23" x14ac:dyDescent="0.25">
      <c r="A11" t="s">
        <v>8</v>
      </c>
      <c r="B11" t="s">
        <v>346</v>
      </c>
      <c r="C11" t="s">
        <v>188</v>
      </c>
      <c r="D11">
        <v>9</v>
      </c>
      <c r="E11" t="s">
        <v>347</v>
      </c>
      <c r="F11">
        <v>0</v>
      </c>
      <c r="G11">
        <v>0</v>
      </c>
      <c r="H11">
        <v>267.93</v>
      </c>
      <c r="I11">
        <v>1.1200000000000001</v>
      </c>
      <c r="J11">
        <v>24.11</v>
      </c>
      <c r="K11">
        <v>24.11</v>
      </c>
      <c r="L11">
        <v>0</v>
      </c>
      <c r="M11" t="s">
        <v>348</v>
      </c>
      <c r="N11" t="s">
        <v>65</v>
      </c>
      <c r="O11">
        <v>0</v>
      </c>
      <c r="P11">
        <v>0</v>
      </c>
      <c r="Q11">
        <v>0</v>
      </c>
      <c r="R11">
        <v>0</v>
      </c>
      <c r="S11" t="s">
        <v>65</v>
      </c>
      <c r="T11" t="s">
        <v>71</v>
      </c>
      <c r="U11">
        <v>0</v>
      </c>
      <c r="V11">
        <v>0</v>
      </c>
      <c r="W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W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23.42578125" bestFit="1" customWidth="1"/>
    <col min="14" max="14" width="19.7109375" bestFit="1" customWidth="1"/>
    <col min="15" max="15" width="11.140625" bestFit="1" customWidth="1"/>
    <col min="16" max="16" width="18.5703125" bestFit="1" customWidth="1"/>
    <col min="17" max="17" width="14.5703125" bestFit="1" customWidth="1"/>
    <col min="18" max="18" width="22" bestFit="1" customWidth="1"/>
    <col min="19" max="19" width="24.140625" bestFit="1" customWidth="1"/>
    <col min="20" max="20" width="15.7109375" bestFit="1" customWidth="1"/>
    <col min="21" max="21" width="14.85546875" bestFit="1" customWidth="1"/>
    <col min="22" max="22" width="20.85546875" bestFit="1" customWidth="1"/>
    <col min="23" max="23" width="15.7109375" bestFit="1" customWidth="1"/>
  </cols>
  <sheetData>
    <row r="1" spans="1:23" x14ac:dyDescent="0.25">
      <c r="A1" t="s">
        <v>326</v>
      </c>
      <c r="B1" t="s">
        <v>327</v>
      </c>
      <c r="C1" t="s">
        <v>118</v>
      </c>
      <c r="D1" t="s">
        <v>328</v>
      </c>
      <c r="E1" t="s">
        <v>234</v>
      </c>
      <c r="F1" t="s">
        <v>329</v>
      </c>
      <c r="G1" t="s">
        <v>330</v>
      </c>
      <c r="H1" t="s">
        <v>331</v>
      </c>
      <c r="I1" t="s">
        <v>94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</row>
    <row r="2" spans="1:23" x14ac:dyDescent="0.25">
      <c r="A2" t="s">
        <v>9</v>
      </c>
      <c r="B2" t="s">
        <v>346</v>
      </c>
      <c r="C2" t="s">
        <v>282</v>
      </c>
      <c r="D2">
        <v>0.75</v>
      </c>
      <c r="E2" t="s">
        <v>347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>
        <v>0</v>
      </c>
      <c r="M2" t="s">
        <v>349</v>
      </c>
      <c r="N2" t="s">
        <v>65</v>
      </c>
      <c r="O2">
        <v>0</v>
      </c>
      <c r="P2">
        <v>0</v>
      </c>
      <c r="Q2">
        <v>0</v>
      </c>
      <c r="R2">
        <v>0</v>
      </c>
      <c r="S2" t="s">
        <v>65</v>
      </c>
      <c r="T2" t="s">
        <v>71</v>
      </c>
      <c r="U2">
        <v>0</v>
      </c>
      <c r="V2">
        <v>0</v>
      </c>
      <c r="W2">
        <v>2102</v>
      </c>
    </row>
    <row r="3" spans="1:23" x14ac:dyDescent="0.25">
      <c r="A3" t="s">
        <v>9</v>
      </c>
      <c r="B3" t="s">
        <v>346</v>
      </c>
      <c r="C3" t="s">
        <v>188</v>
      </c>
      <c r="D3">
        <v>9</v>
      </c>
      <c r="E3" t="s">
        <v>347</v>
      </c>
      <c r="F3">
        <v>0</v>
      </c>
      <c r="G3">
        <v>0</v>
      </c>
      <c r="H3">
        <v>1.45</v>
      </c>
      <c r="I3">
        <v>0</v>
      </c>
      <c r="J3">
        <v>0.13</v>
      </c>
      <c r="K3">
        <v>0.13</v>
      </c>
      <c r="L3">
        <v>0</v>
      </c>
      <c r="M3" t="s">
        <v>349</v>
      </c>
      <c r="N3" t="s">
        <v>65</v>
      </c>
      <c r="O3">
        <v>0</v>
      </c>
      <c r="P3">
        <v>0</v>
      </c>
      <c r="Q3">
        <v>0</v>
      </c>
      <c r="R3">
        <v>0</v>
      </c>
      <c r="S3" t="s">
        <v>65</v>
      </c>
      <c r="T3" t="s">
        <v>71</v>
      </c>
      <c r="U3">
        <v>0</v>
      </c>
      <c r="V3">
        <v>0</v>
      </c>
      <c r="W3">
        <v>2102</v>
      </c>
    </row>
    <row r="4" spans="1:23" x14ac:dyDescent="0.25">
      <c r="A4" t="s">
        <v>9</v>
      </c>
      <c r="B4" t="s">
        <v>346</v>
      </c>
      <c r="C4" t="s">
        <v>156</v>
      </c>
      <c r="D4">
        <v>6</v>
      </c>
      <c r="E4" t="s">
        <v>347</v>
      </c>
      <c r="F4">
        <v>0</v>
      </c>
      <c r="G4">
        <v>0</v>
      </c>
      <c r="H4">
        <v>1.46</v>
      </c>
      <c r="I4">
        <v>0</v>
      </c>
      <c r="J4">
        <v>0.09</v>
      </c>
      <c r="K4">
        <v>0.09</v>
      </c>
      <c r="L4">
        <v>0</v>
      </c>
      <c r="M4" t="s">
        <v>349</v>
      </c>
      <c r="N4" t="s">
        <v>65</v>
      </c>
      <c r="O4">
        <v>0</v>
      </c>
      <c r="P4">
        <v>0</v>
      </c>
      <c r="Q4">
        <v>0</v>
      </c>
      <c r="R4">
        <v>0</v>
      </c>
      <c r="S4" t="s">
        <v>65</v>
      </c>
      <c r="T4" t="s">
        <v>71</v>
      </c>
      <c r="U4">
        <v>0</v>
      </c>
      <c r="V4">
        <v>0</v>
      </c>
      <c r="W4">
        <v>2102</v>
      </c>
    </row>
    <row r="5" spans="1:23" x14ac:dyDescent="0.25">
      <c r="A5" t="s">
        <v>9</v>
      </c>
      <c r="B5" t="s">
        <v>346</v>
      </c>
      <c r="C5" t="s">
        <v>305</v>
      </c>
      <c r="D5">
        <v>14</v>
      </c>
      <c r="E5" t="s">
        <v>347</v>
      </c>
      <c r="F5">
        <v>0</v>
      </c>
      <c r="G5">
        <v>0</v>
      </c>
      <c r="H5">
        <v>1.47</v>
      </c>
      <c r="I5">
        <v>0</v>
      </c>
      <c r="J5">
        <v>0.21</v>
      </c>
      <c r="K5">
        <v>0.21</v>
      </c>
      <c r="L5">
        <v>0</v>
      </c>
      <c r="M5" t="s">
        <v>349</v>
      </c>
      <c r="N5" t="s">
        <v>65</v>
      </c>
      <c r="O5">
        <v>0</v>
      </c>
      <c r="P5">
        <v>0</v>
      </c>
      <c r="Q5">
        <v>0</v>
      </c>
      <c r="R5">
        <v>0</v>
      </c>
      <c r="S5" t="s">
        <v>65</v>
      </c>
      <c r="T5" t="s">
        <v>71</v>
      </c>
      <c r="U5">
        <v>0</v>
      </c>
      <c r="V5">
        <v>0</v>
      </c>
      <c r="W5">
        <v>2102</v>
      </c>
    </row>
    <row r="6" spans="1:23" x14ac:dyDescent="0.25">
      <c r="A6" t="s">
        <v>9</v>
      </c>
      <c r="B6" t="s">
        <v>346</v>
      </c>
      <c r="C6" t="s">
        <v>315</v>
      </c>
      <c r="D6">
        <v>1.5</v>
      </c>
      <c r="E6" t="s">
        <v>347</v>
      </c>
      <c r="F6">
        <v>0</v>
      </c>
      <c r="G6">
        <v>0</v>
      </c>
      <c r="H6">
        <v>1.48</v>
      </c>
      <c r="I6">
        <v>0</v>
      </c>
      <c r="J6">
        <v>0.02</v>
      </c>
      <c r="K6">
        <v>0.02</v>
      </c>
      <c r="L6">
        <v>0</v>
      </c>
      <c r="M6" t="s">
        <v>349</v>
      </c>
      <c r="N6" t="s">
        <v>65</v>
      </c>
      <c r="O6">
        <v>0</v>
      </c>
      <c r="P6">
        <v>0</v>
      </c>
      <c r="Q6">
        <v>0</v>
      </c>
      <c r="R6">
        <v>0</v>
      </c>
      <c r="S6" t="s">
        <v>65</v>
      </c>
      <c r="T6" t="s">
        <v>71</v>
      </c>
      <c r="U6">
        <v>0</v>
      </c>
      <c r="V6">
        <v>0</v>
      </c>
      <c r="W6">
        <v>2102</v>
      </c>
    </row>
    <row r="7" spans="1:23" x14ac:dyDescent="0.25">
      <c r="A7" t="s">
        <v>9</v>
      </c>
      <c r="B7" t="s">
        <v>346</v>
      </c>
      <c r="C7" t="s">
        <v>156</v>
      </c>
      <c r="D7">
        <v>6</v>
      </c>
      <c r="E7" t="s">
        <v>347</v>
      </c>
      <c r="F7">
        <v>0</v>
      </c>
      <c r="G7">
        <v>0</v>
      </c>
      <c r="H7">
        <v>265.27999999999997</v>
      </c>
      <c r="I7">
        <v>1.123</v>
      </c>
      <c r="J7">
        <v>15.92</v>
      </c>
      <c r="K7">
        <v>15.92</v>
      </c>
      <c r="L7">
        <v>0</v>
      </c>
      <c r="M7" t="s">
        <v>349</v>
      </c>
      <c r="N7" t="s">
        <v>65</v>
      </c>
      <c r="O7">
        <v>0</v>
      </c>
      <c r="P7">
        <v>0</v>
      </c>
      <c r="Q7">
        <v>0</v>
      </c>
      <c r="R7">
        <v>0</v>
      </c>
      <c r="S7" t="s">
        <v>65</v>
      </c>
      <c r="T7" t="s">
        <v>71</v>
      </c>
      <c r="U7">
        <v>0</v>
      </c>
      <c r="V7">
        <v>0</v>
      </c>
      <c r="W7">
        <v>2102</v>
      </c>
    </row>
    <row r="8" spans="1:23" x14ac:dyDescent="0.25">
      <c r="A8" t="s">
        <v>9</v>
      </c>
      <c r="B8" t="s">
        <v>346</v>
      </c>
      <c r="C8" t="s">
        <v>156</v>
      </c>
      <c r="D8">
        <v>6</v>
      </c>
      <c r="E8" t="s">
        <v>347</v>
      </c>
      <c r="F8">
        <v>0</v>
      </c>
      <c r="G8">
        <v>0</v>
      </c>
      <c r="H8">
        <v>265.48</v>
      </c>
      <c r="I8">
        <v>1.1240000000000001</v>
      </c>
      <c r="J8">
        <v>15.93</v>
      </c>
      <c r="K8">
        <v>15.93</v>
      </c>
      <c r="L8">
        <v>0</v>
      </c>
      <c r="M8" t="s">
        <v>349</v>
      </c>
      <c r="N8" t="s">
        <v>65</v>
      </c>
      <c r="O8">
        <v>0</v>
      </c>
      <c r="P8">
        <v>0</v>
      </c>
      <c r="Q8">
        <v>0</v>
      </c>
      <c r="R8">
        <v>0</v>
      </c>
      <c r="S8" t="s">
        <v>65</v>
      </c>
      <c r="T8" t="s">
        <v>71</v>
      </c>
      <c r="U8">
        <v>0</v>
      </c>
      <c r="V8">
        <v>0</v>
      </c>
      <c r="W8">
        <v>2102</v>
      </c>
    </row>
    <row r="9" spans="1:23" x14ac:dyDescent="0.25">
      <c r="A9" t="s">
        <v>9</v>
      </c>
      <c r="B9" t="s">
        <v>346</v>
      </c>
      <c r="C9" t="s">
        <v>188</v>
      </c>
      <c r="D9">
        <v>9</v>
      </c>
      <c r="E9" t="s">
        <v>347</v>
      </c>
      <c r="F9">
        <v>0</v>
      </c>
      <c r="G9">
        <v>0</v>
      </c>
      <c r="H9">
        <v>106.41</v>
      </c>
      <c r="I9">
        <v>1.1259999999999999</v>
      </c>
      <c r="J9">
        <v>9.58</v>
      </c>
      <c r="K9">
        <v>9.58</v>
      </c>
      <c r="L9">
        <v>0</v>
      </c>
      <c r="M9" t="s">
        <v>349</v>
      </c>
      <c r="N9" t="s">
        <v>65</v>
      </c>
      <c r="O9">
        <v>0</v>
      </c>
      <c r="P9">
        <v>0</v>
      </c>
      <c r="Q9">
        <v>0</v>
      </c>
      <c r="R9">
        <v>0</v>
      </c>
      <c r="S9" t="s">
        <v>65</v>
      </c>
      <c r="T9" t="s">
        <v>71</v>
      </c>
      <c r="U9">
        <v>0</v>
      </c>
      <c r="V9">
        <v>0</v>
      </c>
      <c r="W9">
        <v>2102</v>
      </c>
    </row>
    <row r="10" spans="1:23" x14ac:dyDescent="0.25">
      <c r="A10" t="s">
        <v>9</v>
      </c>
      <c r="B10" t="s">
        <v>346</v>
      </c>
      <c r="C10" t="s">
        <v>156</v>
      </c>
      <c r="D10">
        <v>6</v>
      </c>
      <c r="E10" t="s">
        <v>347</v>
      </c>
      <c r="F10">
        <v>0</v>
      </c>
      <c r="G10">
        <v>0</v>
      </c>
      <c r="H10">
        <v>239.05</v>
      </c>
      <c r="I10">
        <v>1</v>
      </c>
      <c r="J10">
        <v>14.34</v>
      </c>
      <c r="K10">
        <v>14.34</v>
      </c>
      <c r="L10">
        <v>0</v>
      </c>
      <c r="M10" t="s">
        <v>349</v>
      </c>
      <c r="N10" t="s">
        <v>65</v>
      </c>
      <c r="O10">
        <v>0</v>
      </c>
      <c r="P10">
        <v>0</v>
      </c>
      <c r="Q10">
        <v>0</v>
      </c>
      <c r="R10">
        <v>0</v>
      </c>
      <c r="S10" t="s">
        <v>65</v>
      </c>
      <c r="T10" t="s">
        <v>71</v>
      </c>
      <c r="U10">
        <v>0</v>
      </c>
      <c r="V10">
        <v>0</v>
      </c>
      <c r="W10">
        <v>2102</v>
      </c>
    </row>
    <row r="11" spans="1:23" x14ac:dyDescent="0.25">
      <c r="A11" t="s">
        <v>9</v>
      </c>
      <c r="B11" t="s">
        <v>346</v>
      </c>
      <c r="C11" t="s">
        <v>188</v>
      </c>
      <c r="D11">
        <v>9</v>
      </c>
      <c r="E11" t="s">
        <v>347</v>
      </c>
      <c r="F11">
        <v>0</v>
      </c>
      <c r="G11">
        <v>0</v>
      </c>
      <c r="H11">
        <v>267.93</v>
      </c>
      <c r="I11">
        <v>1.1200000000000001</v>
      </c>
      <c r="J11">
        <v>24.11</v>
      </c>
      <c r="K11">
        <v>24.11</v>
      </c>
      <c r="L11">
        <v>0</v>
      </c>
      <c r="M11" t="s">
        <v>349</v>
      </c>
      <c r="N11" t="s">
        <v>65</v>
      </c>
      <c r="O11">
        <v>0</v>
      </c>
      <c r="P11">
        <v>0</v>
      </c>
      <c r="Q11">
        <v>0</v>
      </c>
      <c r="R11">
        <v>0</v>
      </c>
      <c r="S11" t="s">
        <v>65</v>
      </c>
      <c r="T11" t="s">
        <v>71</v>
      </c>
      <c r="U11">
        <v>0</v>
      </c>
      <c r="V11">
        <v>0</v>
      </c>
      <c r="W11">
        <v>2102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W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11.140625" bestFit="1" customWidth="1"/>
    <col min="14" max="14" width="19.7109375" bestFit="1" customWidth="1"/>
    <col min="15" max="15" width="11.140625" bestFit="1" customWidth="1"/>
    <col min="16" max="16" width="18.5703125" bestFit="1" customWidth="1"/>
    <col min="17" max="17" width="14.5703125" bestFit="1" customWidth="1"/>
    <col min="18" max="18" width="22" bestFit="1" customWidth="1"/>
    <col min="19" max="19" width="24.140625" bestFit="1" customWidth="1"/>
    <col min="20" max="20" width="15.7109375" bestFit="1" customWidth="1"/>
    <col min="21" max="21" width="14.85546875" bestFit="1" customWidth="1"/>
    <col min="22" max="22" width="20.85546875" bestFit="1" customWidth="1"/>
    <col min="23" max="23" width="15.7109375" bestFit="1" customWidth="1"/>
  </cols>
  <sheetData>
    <row r="1" spans="1:23" x14ac:dyDescent="0.25">
      <c r="A1" t="s">
        <v>326</v>
      </c>
      <c r="B1" t="s">
        <v>327</v>
      </c>
      <c r="C1" t="s">
        <v>118</v>
      </c>
      <c r="D1" t="s">
        <v>328</v>
      </c>
      <c r="E1" t="s">
        <v>234</v>
      </c>
      <c r="F1" t="s">
        <v>329</v>
      </c>
      <c r="G1" t="s">
        <v>330</v>
      </c>
      <c r="H1" t="s">
        <v>331</v>
      </c>
      <c r="I1" t="s">
        <v>94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W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27" bestFit="1" customWidth="1"/>
    <col min="14" max="14" width="19.7109375" bestFit="1" customWidth="1"/>
    <col min="15" max="15" width="11.140625" bestFit="1" customWidth="1"/>
    <col min="16" max="16" width="18.5703125" bestFit="1" customWidth="1"/>
    <col min="17" max="17" width="14.5703125" bestFit="1" customWidth="1"/>
    <col min="18" max="18" width="22" bestFit="1" customWidth="1"/>
    <col min="19" max="19" width="24.140625" bestFit="1" customWidth="1"/>
    <col min="20" max="20" width="15.7109375" bestFit="1" customWidth="1"/>
    <col min="21" max="21" width="14.85546875" bestFit="1" customWidth="1"/>
    <col min="22" max="22" width="20.85546875" bestFit="1" customWidth="1"/>
    <col min="23" max="23" width="15.7109375" bestFit="1" customWidth="1"/>
  </cols>
  <sheetData>
    <row r="1" spans="1:23" x14ac:dyDescent="0.25">
      <c r="A1" t="s">
        <v>326</v>
      </c>
      <c r="B1" t="s">
        <v>327</v>
      </c>
      <c r="C1" t="s">
        <v>118</v>
      </c>
      <c r="D1" t="s">
        <v>328</v>
      </c>
      <c r="E1" t="s">
        <v>234</v>
      </c>
      <c r="F1" t="s">
        <v>329</v>
      </c>
      <c r="G1" t="s">
        <v>330</v>
      </c>
      <c r="H1" t="s">
        <v>331</v>
      </c>
      <c r="I1" t="s">
        <v>94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</row>
    <row r="2" spans="1:23" x14ac:dyDescent="0.25">
      <c r="A2" t="s">
        <v>11</v>
      </c>
      <c r="B2" t="s">
        <v>346</v>
      </c>
      <c r="C2" t="s">
        <v>157</v>
      </c>
      <c r="D2">
        <v>1</v>
      </c>
      <c r="E2" t="s">
        <v>347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>
        <v>0</v>
      </c>
      <c r="M2" t="s">
        <v>350</v>
      </c>
      <c r="N2" t="s">
        <v>65</v>
      </c>
      <c r="O2">
        <v>0</v>
      </c>
      <c r="P2">
        <v>0</v>
      </c>
      <c r="Q2">
        <v>0</v>
      </c>
      <c r="R2">
        <v>0</v>
      </c>
      <c r="S2" t="s">
        <v>65</v>
      </c>
      <c r="T2" t="s">
        <v>71</v>
      </c>
      <c r="U2">
        <v>0</v>
      </c>
      <c r="V2">
        <v>0</v>
      </c>
      <c r="W2">
        <v>2101</v>
      </c>
    </row>
    <row r="3" spans="1:23" x14ac:dyDescent="0.25">
      <c r="A3" t="s">
        <v>11</v>
      </c>
      <c r="B3" t="s">
        <v>346</v>
      </c>
      <c r="C3" t="s">
        <v>189</v>
      </c>
      <c r="D3">
        <v>10</v>
      </c>
      <c r="E3" t="s">
        <v>347</v>
      </c>
      <c r="F3">
        <v>0</v>
      </c>
      <c r="G3">
        <v>0</v>
      </c>
      <c r="H3">
        <v>1.45</v>
      </c>
      <c r="I3">
        <v>0</v>
      </c>
      <c r="J3">
        <v>0.15</v>
      </c>
      <c r="K3">
        <v>0.15</v>
      </c>
      <c r="L3">
        <v>0</v>
      </c>
      <c r="M3" t="s">
        <v>350</v>
      </c>
      <c r="N3" t="s">
        <v>65</v>
      </c>
      <c r="O3">
        <v>0</v>
      </c>
      <c r="P3">
        <v>0</v>
      </c>
      <c r="Q3">
        <v>0</v>
      </c>
      <c r="R3">
        <v>0</v>
      </c>
      <c r="S3" t="s">
        <v>65</v>
      </c>
      <c r="T3" t="s">
        <v>71</v>
      </c>
      <c r="U3">
        <v>0</v>
      </c>
      <c r="V3">
        <v>0</v>
      </c>
      <c r="W3">
        <v>2101</v>
      </c>
    </row>
    <row r="4" spans="1:23" x14ac:dyDescent="0.25">
      <c r="A4" t="s">
        <v>11</v>
      </c>
      <c r="B4" t="s">
        <v>346</v>
      </c>
      <c r="C4" t="s">
        <v>157</v>
      </c>
      <c r="D4">
        <v>1</v>
      </c>
      <c r="E4" t="s">
        <v>347</v>
      </c>
      <c r="F4">
        <v>0</v>
      </c>
      <c r="G4">
        <v>0</v>
      </c>
      <c r="H4">
        <v>1.46</v>
      </c>
      <c r="I4">
        <v>0</v>
      </c>
      <c r="J4">
        <v>0.01</v>
      </c>
      <c r="K4">
        <v>0.01</v>
      </c>
      <c r="L4">
        <v>0</v>
      </c>
      <c r="M4" t="s">
        <v>350</v>
      </c>
      <c r="N4" t="s">
        <v>65</v>
      </c>
      <c r="O4">
        <v>0</v>
      </c>
      <c r="P4">
        <v>0</v>
      </c>
      <c r="Q4">
        <v>0</v>
      </c>
      <c r="R4">
        <v>0</v>
      </c>
      <c r="S4" t="s">
        <v>65</v>
      </c>
      <c r="T4" t="s">
        <v>71</v>
      </c>
      <c r="U4">
        <v>0</v>
      </c>
      <c r="V4">
        <v>0</v>
      </c>
      <c r="W4">
        <v>2101</v>
      </c>
    </row>
    <row r="5" spans="1:23" x14ac:dyDescent="0.25">
      <c r="A5" t="s">
        <v>11</v>
      </c>
      <c r="B5" t="s">
        <v>346</v>
      </c>
      <c r="C5" t="s">
        <v>306</v>
      </c>
      <c r="D5">
        <v>15</v>
      </c>
      <c r="E5" t="s">
        <v>347</v>
      </c>
      <c r="F5">
        <v>0</v>
      </c>
      <c r="G5">
        <v>0</v>
      </c>
      <c r="H5">
        <v>1.47</v>
      </c>
      <c r="I5">
        <v>0</v>
      </c>
      <c r="J5">
        <v>0.22</v>
      </c>
      <c r="K5">
        <v>0.22</v>
      </c>
      <c r="L5">
        <v>0</v>
      </c>
      <c r="M5" t="s">
        <v>350</v>
      </c>
      <c r="N5" t="s">
        <v>65</v>
      </c>
      <c r="O5">
        <v>0</v>
      </c>
      <c r="P5">
        <v>0</v>
      </c>
      <c r="Q5">
        <v>0</v>
      </c>
      <c r="R5">
        <v>0</v>
      </c>
      <c r="S5" t="s">
        <v>65</v>
      </c>
      <c r="T5" t="s">
        <v>71</v>
      </c>
      <c r="U5">
        <v>0</v>
      </c>
      <c r="V5">
        <v>0</v>
      </c>
      <c r="W5">
        <v>2101</v>
      </c>
    </row>
    <row r="6" spans="1:23" x14ac:dyDescent="0.25">
      <c r="A6" t="s">
        <v>11</v>
      </c>
      <c r="B6" t="s">
        <v>346</v>
      </c>
      <c r="C6" t="s">
        <v>157</v>
      </c>
      <c r="D6">
        <v>1</v>
      </c>
      <c r="E6" t="s">
        <v>347</v>
      </c>
      <c r="F6">
        <v>0</v>
      </c>
      <c r="G6">
        <v>0</v>
      </c>
      <c r="H6">
        <v>1.48</v>
      </c>
      <c r="I6">
        <v>0</v>
      </c>
      <c r="J6">
        <v>0.01</v>
      </c>
      <c r="K6">
        <v>0.01</v>
      </c>
      <c r="L6">
        <v>0</v>
      </c>
      <c r="M6" t="s">
        <v>350</v>
      </c>
      <c r="N6" t="s">
        <v>65</v>
      </c>
      <c r="O6">
        <v>0</v>
      </c>
      <c r="P6">
        <v>0</v>
      </c>
      <c r="Q6">
        <v>0</v>
      </c>
      <c r="R6">
        <v>0</v>
      </c>
      <c r="S6" t="s">
        <v>65</v>
      </c>
      <c r="T6" t="s">
        <v>71</v>
      </c>
      <c r="U6">
        <v>0</v>
      </c>
      <c r="V6">
        <v>0</v>
      </c>
      <c r="W6">
        <v>2101</v>
      </c>
    </row>
    <row r="7" spans="1:23" x14ac:dyDescent="0.25">
      <c r="A7" t="s">
        <v>11</v>
      </c>
      <c r="B7" t="s">
        <v>346</v>
      </c>
      <c r="C7" t="s">
        <v>157</v>
      </c>
      <c r="D7">
        <v>1</v>
      </c>
      <c r="E7" t="s">
        <v>347</v>
      </c>
      <c r="F7">
        <v>0</v>
      </c>
      <c r="G7">
        <v>0</v>
      </c>
      <c r="H7">
        <v>265.27999999999997</v>
      </c>
      <c r="I7">
        <v>1.123</v>
      </c>
      <c r="J7">
        <v>2.65</v>
      </c>
      <c r="K7">
        <v>2.65</v>
      </c>
      <c r="L7">
        <v>0</v>
      </c>
      <c r="M7" t="s">
        <v>350</v>
      </c>
      <c r="N7" t="s">
        <v>65</v>
      </c>
      <c r="O7">
        <v>0</v>
      </c>
      <c r="P7">
        <v>0</v>
      </c>
      <c r="Q7">
        <v>0</v>
      </c>
      <c r="R7">
        <v>0</v>
      </c>
      <c r="S7" t="s">
        <v>65</v>
      </c>
      <c r="T7" t="s">
        <v>71</v>
      </c>
      <c r="U7">
        <v>0</v>
      </c>
      <c r="V7">
        <v>0</v>
      </c>
      <c r="W7">
        <v>2101</v>
      </c>
    </row>
    <row r="8" spans="1:23" x14ac:dyDescent="0.25">
      <c r="A8" t="s">
        <v>11</v>
      </c>
      <c r="B8" t="s">
        <v>346</v>
      </c>
      <c r="C8" t="s">
        <v>157</v>
      </c>
      <c r="D8">
        <v>1</v>
      </c>
      <c r="E8" t="s">
        <v>347</v>
      </c>
      <c r="F8">
        <v>0</v>
      </c>
      <c r="G8">
        <v>0</v>
      </c>
      <c r="H8">
        <v>265.48</v>
      </c>
      <c r="I8">
        <v>1.1240000000000001</v>
      </c>
      <c r="J8">
        <v>2.65</v>
      </c>
      <c r="K8">
        <v>2.65</v>
      </c>
      <c r="L8">
        <v>0</v>
      </c>
      <c r="M8" t="s">
        <v>350</v>
      </c>
      <c r="N8" t="s">
        <v>65</v>
      </c>
      <c r="O8">
        <v>0</v>
      </c>
      <c r="P8">
        <v>0</v>
      </c>
      <c r="Q8">
        <v>0</v>
      </c>
      <c r="R8">
        <v>0</v>
      </c>
      <c r="S8" t="s">
        <v>65</v>
      </c>
      <c r="T8" t="s">
        <v>71</v>
      </c>
      <c r="U8">
        <v>0</v>
      </c>
      <c r="V8">
        <v>0</v>
      </c>
      <c r="W8">
        <v>2101</v>
      </c>
    </row>
    <row r="9" spans="1:23" x14ac:dyDescent="0.25">
      <c r="A9" t="s">
        <v>11</v>
      </c>
      <c r="B9" t="s">
        <v>346</v>
      </c>
      <c r="C9" t="s">
        <v>189</v>
      </c>
      <c r="D9">
        <v>10</v>
      </c>
      <c r="E9" t="s">
        <v>347</v>
      </c>
      <c r="F9">
        <v>0</v>
      </c>
      <c r="G9">
        <v>0</v>
      </c>
      <c r="H9">
        <v>106.41</v>
      </c>
      <c r="I9">
        <v>1.1259999999999999</v>
      </c>
      <c r="J9">
        <v>10.64</v>
      </c>
      <c r="K9">
        <v>10.64</v>
      </c>
      <c r="L9">
        <v>0</v>
      </c>
      <c r="M9" t="s">
        <v>350</v>
      </c>
      <c r="N9" t="s">
        <v>65</v>
      </c>
      <c r="O9">
        <v>0</v>
      </c>
      <c r="P9">
        <v>0</v>
      </c>
      <c r="Q9">
        <v>0</v>
      </c>
      <c r="R9">
        <v>0</v>
      </c>
      <c r="S9" t="s">
        <v>65</v>
      </c>
      <c r="T9" t="s">
        <v>71</v>
      </c>
      <c r="U9">
        <v>0</v>
      </c>
      <c r="V9">
        <v>0</v>
      </c>
      <c r="W9">
        <v>2101</v>
      </c>
    </row>
    <row r="10" spans="1:23" x14ac:dyDescent="0.25">
      <c r="A10" t="s">
        <v>11</v>
      </c>
      <c r="B10" t="s">
        <v>346</v>
      </c>
      <c r="C10" t="s">
        <v>157</v>
      </c>
      <c r="D10">
        <v>1</v>
      </c>
      <c r="E10" t="s">
        <v>347</v>
      </c>
      <c r="F10">
        <v>0</v>
      </c>
      <c r="G10">
        <v>0</v>
      </c>
      <c r="H10">
        <v>239.05</v>
      </c>
      <c r="I10">
        <v>1</v>
      </c>
      <c r="J10">
        <v>2.39</v>
      </c>
      <c r="K10">
        <v>2.39</v>
      </c>
      <c r="L10">
        <v>0</v>
      </c>
      <c r="M10" t="s">
        <v>350</v>
      </c>
      <c r="N10" t="s">
        <v>65</v>
      </c>
      <c r="O10">
        <v>0</v>
      </c>
      <c r="P10">
        <v>0</v>
      </c>
      <c r="Q10">
        <v>0</v>
      </c>
      <c r="R10">
        <v>0</v>
      </c>
      <c r="S10" t="s">
        <v>65</v>
      </c>
      <c r="T10" t="s">
        <v>71</v>
      </c>
      <c r="U10">
        <v>0</v>
      </c>
      <c r="V10">
        <v>0</v>
      </c>
      <c r="W10">
        <v>2101</v>
      </c>
    </row>
    <row r="11" spans="1:23" x14ac:dyDescent="0.25">
      <c r="A11" t="s">
        <v>11</v>
      </c>
      <c r="B11" t="s">
        <v>346</v>
      </c>
      <c r="C11" t="s">
        <v>189</v>
      </c>
      <c r="D11">
        <v>10</v>
      </c>
      <c r="E11" t="s">
        <v>347</v>
      </c>
      <c r="F11">
        <v>0</v>
      </c>
      <c r="G11">
        <v>0</v>
      </c>
      <c r="H11">
        <v>267.93</v>
      </c>
      <c r="I11">
        <v>1.1200000000000001</v>
      </c>
      <c r="J11">
        <v>26.79</v>
      </c>
      <c r="K11">
        <v>26.79</v>
      </c>
      <c r="L11">
        <v>0</v>
      </c>
      <c r="M11" t="s">
        <v>350</v>
      </c>
      <c r="N11" t="s">
        <v>65</v>
      </c>
      <c r="O11">
        <v>0</v>
      </c>
      <c r="P11">
        <v>0</v>
      </c>
      <c r="Q11">
        <v>0</v>
      </c>
      <c r="R11">
        <v>0</v>
      </c>
      <c r="S11" t="s">
        <v>65</v>
      </c>
      <c r="T11" t="s">
        <v>71</v>
      </c>
      <c r="U11">
        <v>0</v>
      </c>
      <c r="V11">
        <v>0</v>
      </c>
      <c r="W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6.5703125" bestFit="1" customWidth="1"/>
    <col min="2" max="2" width="16" bestFit="1" customWidth="1"/>
    <col min="3" max="3" width="8.140625" bestFit="1" customWidth="1"/>
    <col min="4" max="4" width="11.28515625" bestFit="1" customWidth="1"/>
    <col min="5" max="5" width="29.85546875" bestFit="1" customWidth="1"/>
    <col min="6" max="6" width="21.5703125" bestFit="1" customWidth="1"/>
  </cols>
  <sheetData>
    <row r="1" spans="1:6" x14ac:dyDescent="0.25">
      <c r="A1" t="s">
        <v>351</v>
      </c>
      <c r="B1" t="s">
        <v>331</v>
      </c>
      <c r="C1" t="s">
        <v>352</v>
      </c>
      <c r="D1" t="s">
        <v>353</v>
      </c>
      <c r="E1" t="s">
        <v>354</v>
      </c>
      <c r="F1" t="s">
        <v>355</v>
      </c>
    </row>
    <row r="2" spans="1:6" x14ac:dyDescent="0.25">
      <c r="A2" t="s">
        <v>74</v>
      </c>
      <c r="B2">
        <v>1357.7</v>
      </c>
      <c r="C2">
        <v>5</v>
      </c>
      <c r="D2">
        <v>67.88</v>
      </c>
      <c r="E2">
        <v>67.88</v>
      </c>
      <c r="F2" t="s">
        <v>356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8.28515625" bestFit="1" customWidth="1"/>
    <col min="2" max="2" width="16.5703125" bestFit="1" customWidth="1"/>
    <col min="3" max="3" width="19.28515625" bestFit="1" customWidth="1"/>
    <col min="4" max="4" width="19.42578125" bestFit="1" customWidth="1"/>
    <col min="5" max="5" width="8.140625" bestFit="1" customWidth="1"/>
    <col min="6" max="6" width="8.7109375" bestFit="1" customWidth="1"/>
    <col min="7" max="7" width="15.5703125" bestFit="1" customWidth="1"/>
    <col min="8" max="8" width="6.7109375" bestFit="1" customWidth="1"/>
    <col min="9" max="9" width="16.28515625" bestFit="1" customWidth="1"/>
    <col min="10" max="10" width="11.42578125" bestFit="1" customWidth="1"/>
  </cols>
  <sheetData>
    <row r="1" spans="1:10" x14ac:dyDescent="0.25">
      <c r="A1" t="s">
        <v>357</v>
      </c>
      <c r="B1" t="s">
        <v>358</v>
      </c>
      <c r="C1" t="s">
        <v>359</v>
      </c>
      <c r="D1" t="s">
        <v>360</v>
      </c>
      <c r="E1" t="s">
        <v>55</v>
      </c>
      <c r="F1" t="s">
        <v>46</v>
      </c>
      <c r="G1" t="s">
        <v>361</v>
      </c>
      <c r="H1" t="s">
        <v>362</v>
      </c>
      <c r="I1" t="s">
        <v>363</v>
      </c>
      <c r="J1" t="s">
        <v>364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I6"/>
  <sheetViews>
    <sheetView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8.140625" bestFit="1" customWidth="1"/>
    <col min="4" max="4" width="26.5703125" bestFit="1" customWidth="1"/>
    <col min="5" max="5" width="14.28515625" bestFit="1" customWidth="1"/>
    <col min="6" max="6" width="10.5703125" bestFit="1" customWidth="1"/>
    <col min="7" max="7" width="15" bestFit="1" customWidth="1"/>
    <col min="8" max="8" width="13.85546875" bestFit="1" customWidth="1"/>
    <col min="9" max="9" width="11.85546875" bestFit="1" customWidth="1"/>
  </cols>
  <sheetData>
    <row r="1" spans="1:9" x14ac:dyDescent="0.25">
      <c r="A1" t="s">
        <v>365</v>
      </c>
      <c r="B1" t="s">
        <v>366</v>
      </c>
      <c r="C1" t="s">
        <v>238</v>
      </c>
      <c r="D1" t="s">
        <v>277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367</v>
      </c>
      <c r="B2" t="s">
        <v>367</v>
      </c>
      <c r="C2">
        <v>11.11</v>
      </c>
      <c r="D2">
        <v>11.11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</row>
    <row r="3" spans="1:9" x14ac:dyDescent="0.25">
      <c r="A3" t="s">
        <v>373</v>
      </c>
      <c r="B3" t="s">
        <v>373</v>
      </c>
      <c r="C3">
        <v>11.12</v>
      </c>
      <c r="D3">
        <v>11.12</v>
      </c>
      <c r="E3" t="s">
        <v>374</v>
      </c>
      <c r="F3" t="s">
        <v>375</v>
      </c>
      <c r="G3" t="s">
        <v>376</v>
      </c>
      <c r="H3" t="s">
        <v>377</v>
      </c>
      <c r="I3" t="s">
        <v>378</v>
      </c>
    </row>
    <row r="4" spans="1:9" x14ac:dyDescent="0.25">
      <c r="A4" t="s">
        <v>379</v>
      </c>
      <c r="B4" t="s">
        <v>379</v>
      </c>
      <c r="C4">
        <v>11.13</v>
      </c>
      <c r="D4">
        <v>11.13</v>
      </c>
      <c r="E4" t="s">
        <v>380</v>
      </c>
      <c r="F4" t="s">
        <v>381</v>
      </c>
      <c r="G4" t="s">
        <v>382</v>
      </c>
      <c r="H4" t="s">
        <v>383</v>
      </c>
      <c r="I4" t="s">
        <v>384</v>
      </c>
    </row>
    <row r="5" spans="1:9" x14ac:dyDescent="0.25">
      <c r="A5" t="s">
        <v>385</v>
      </c>
      <c r="B5" t="s">
        <v>385</v>
      </c>
      <c r="C5">
        <v>11.14</v>
      </c>
      <c r="D5">
        <v>11.14</v>
      </c>
      <c r="E5" t="s">
        <v>386</v>
      </c>
      <c r="F5" t="s">
        <v>387</v>
      </c>
      <c r="G5" t="s">
        <v>388</v>
      </c>
      <c r="H5" t="s">
        <v>389</v>
      </c>
      <c r="I5" t="s">
        <v>390</v>
      </c>
    </row>
    <row r="6" spans="1:9" x14ac:dyDescent="0.25">
      <c r="A6" t="s">
        <v>391</v>
      </c>
      <c r="B6" t="s">
        <v>391</v>
      </c>
      <c r="C6">
        <v>11.15</v>
      </c>
      <c r="D6">
        <v>11.15</v>
      </c>
      <c r="E6" t="s">
        <v>392</v>
      </c>
      <c r="F6" t="s">
        <v>393</v>
      </c>
      <c r="G6" t="s">
        <v>394</v>
      </c>
      <c r="H6" t="s">
        <v>395</v>
      </c>
      <c r="I6" t="s">
        <v>396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Q6"/>
  <sheetViews>
    <sheetView workbookViewId="0"/>
  </sheetViews>
  <sheetFormatPr defaultRowHeight="15" x14ac:dyDescent="0.25"/>
  <cols>
    <col min="1" max="1" width="17.28515625" bestFit="1" customWidth="1"/>
    <col min="2" max="2" width="13.570312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20" bestFit="1" customWidth="1"/>
    <col min="8" max="8" width="17.85546875" bestFit="1" customWidth="1"/>
    <col min="9" max="9" width="8" bestFit="1" customWidth="1"/>
    <col min="10" max="10" width="26.42578125" bestFit="1" customWidth="1"/>
    <col min="11" max="11" width="11.42578125" bestFit="1" customWidth="1"/>
    <col min="12" max="12" width="30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397</v>
      </c>
      <c r="B1" t="s">
        <v>398</v>
      </c>
      <c r="C1" t="s">
        <v>238</v>
      </c>
      <c r="D1" t="s">
        <v>277</v>
      </c>
      <c r="E1" t="s">
        <v>399</v>
      </c>
      <c r="F1" t="s">
        <v>400</v>
      </c>
      <c r="G1" t="s">
        <v>401</v>
      </c>
      <c r="H1" t="s">
        <v>402</v>
      </c>
      <c r="I1" t="s">
        <v>239</v>
      </c>
      <c r="J1" t="s">
        <v>240</v>
      </c>
      <c r="K1" t="s">
        <v>124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</row>
    <row r="2" spans="1:17" x14ac:dyDescent="0.25">
      <c r="A2" t="s">
        <v>403</v>
      </c>
      <c r="B2" t="s">
        <v>403</v>
      </c>
      <c r="C2">
        <v>12.11</v>
      </c>
      <c r="D2">
        <v>12.11</v>
      </c>
      <c r="E2" t="s">
        <v>404</v>
      </c>
      <c r="F2" s="1">
        <v>45880</v>
      </c>
      <c r="G2" t="s">
        <v>405</v>
      </c>
      <c r="H2" t="s">
        <v>405</v>
      </c>
      <c r="I2">
        <v>1.21</v>
      </c>
      <c r="J2">
        <v>1.21</v>
      </c>
      <c r="K2">
        <v>13.32</v>
      </c>
      <c r="L2">
        <v>13.32</v>
      </c>
      <c r="M2" t="s">
        <v>406</v>
      </c>
      <c r="N2" t="s">
        <v>407</v>
      </c>
      <c r="O2" t="s">
        <v>408</v>
      </c>
      <c r="P2" t="s">
        <v>409</v>
      </c>
      <c r="Q2" t="s">
        <v>410</v>
      </c>
    </row>
    <row r="3" spans="1:17" x14ac:dyDescent="0.25">
      <c r="A3" t="s">
        <v>411</v>
      </c>
      <c r="B3" t="s">
        <v>411</v>
      </c>
      <c r="C3">
        <v>12.12</v>
      </c>
      <c r="D3">
        <v>12.12</v>
      </c>
      <c r="E3" t="s">
        <v>412</v>
      </c>
      <c r="F3" s="1">
        <v>45881</v>
      </c>
      <c r="G3" t="s">
        <v>413</v>
      </c>
      <c r="H3" t="s">
        <v>413</v>
      </c>
      <c r="I3">
        <v>1.22</v>
      </c>
      <c r="J3">
        <v>1.22</v>
      </c>
      <c r="K3">
        <v>13.34</v>
      </c>
      <c r="L3">
        <v>13.34</v>
      </c>
      <c r="M3" t="s">
        <v>414</v>
      </c>
      <c r="N3" t="s">
        <v>415</v>
      </c>
      <c r="O3" t="s">
        <v>416</v>
      </c>
      <c r="P3" t="s">
        <v>417</v>
      </c>
      <c r="Q3" t="s">
        <v>418</v>
      </c>
    </row>
    <row r="4" spans="1:17" x14ac:dyDescent="0.25">
      <c r="A4" t="s">
        <v>419</v>
      </c>
      <c r="B4" t="s">
        <v>419</v>
      </c>
      <c r="C4">
        <v>12.13</v>
      </c>
      <c r="D4">
        <v>12.13</v>
      </c>
      <c r="E4" t="s">
        <v>420</v>
      </c>
      <c r="F4" s="1">
        <v>45882</v>
      </c>
      <c r="G4" t="s">
        <v>421</v>
      </c>
      <c r="H4" t="s">
        <v>421</v>
      </c>
      <c r="I4">
        <v>1.23</v>
      </c>
      <c r="J4">
        <v>1.23</v>
      </c>
      <c r="K4">
        <v>13.36</v>
      </c>
      <c r="L4">
        <v>13.36</v>
      </c>
      <c r="M4" t="s">
        <v>422</v>
      </c>
      <c r="N4" t="s">
        <v>423</v>
      </c>
      <c r="O4" t="s">
        <v>424</v>
      </c>
      <c r="P4" t="s">
        <v>425</v>
      </c>
      <c r="Q4" t="s">
        <v>426</v>
      </c>
    </row>
    <row r="5" spans="1:17" x14ac:dyDescent="0.25">
      <c r="A5" t="s">
        <v>427</v>
      </c>
      <c r="B5" t="s">
        <v>427</v>
      </c>
      <c r="C5">
        <v>12.14</v>
      </c>
      <c r="D5">
        <v>12.14</v>
      </c>
      <c r="E5" t="s">
        <v>428</v>
      </c>
      <c r="F5" s="1">
        <v>45883</v>
      </c>
      <c r="G5" t="s">
        <v>429</v>
      </c>
      <c r="H5" t="s">
        <v>429</v>
      </c>
      <c r="I5">
        <v>1.24</v>
      </c>
      <c r="J5">
        <v>1.24</v>
      </c>
      <c r="K5">
        <v>13.38</v>
      </c>
      <c r="L5">
        <v>13.38</v>
      </c>
      <c r="M5" t="s">
        <v>430</v>
      </c>
      <c r="N5" t="s">
        <v>431</v>
      </c>
      <c r="O5" t="s">
        <v>432</v>
      </c>
      <c r="P5" t="s">
        <v>433</v>
      </c>
      <c r="Q5" t="s">
        <v>434</v>
      </c>
    </row>
    <row r="6" spans="1:17" x14ac:dyDescent="0.25">
      <c r="A6" t="s">
        <v>435</v>
      </c>
      <c r="B6" t="s">
        <v>435</v>
      </c>
      <c r="C6">
        <v>12.15</v>
      </c>
      <c r="D6">
        <v>12.15</v>
      </c>
      <c r="E6" t="s">
        <v>436</v>
      </c>
      <c r="F6" s="1">
        <v>45884</v>
      </c>
      <c r="G6" t="s">
        <v>437</v>
      </c>
      <c r="H6" t="s">
        <v>437</v>
      </c>
      <c r="I6">
        <v>1.25</v>
      </c>
      <c r="J6">
        <v>1.25</v>
      </c>
      <c r="K6">
        <v>13.4</v>
      </c>
      <c r="L6">
        <v>13.4</v>
      </c>
      <c r="M6" t="s">
        <v>438</v>
      </c>
      <c r="N6" t="s">
        <v>439</v>
      </c>
      <c r="O6" t="s">
        <v>440</v>
      </c>
      <c r="P6" t="s">
        <v>441</v>
      </c>
      <c r="Q6" t="s">
        <v>442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L6"/>
  <sheetViews>
    <sheetView workbookViewId="0"/>
  </sheetViews>
  <sheetFormatPr defaultRowHeight="15" x14ac:dyDescent="0.25"/>
  <cols>
    <col min="1" max="2" width="18.85546875" bestFit="1" customWidth="1"/>
    <col min="3" max="3" width="12.140625" bestFit="1" customWidth="1"/>
    <col min="4" max="4" width="8.140625" bestFit="1" customWidth="1"/>
    <col min="5" max="5" width="26.5703125" bestFit="1" customWidth="1"/>
    <col min="6" max="6" width="10.42578125" bestFit="1" customWidth="1"/>
    <col min="7" max="7" width="12" bestFit="1" customWidth="1"/>
    <col min="8" max="8" width="14.28515625" bestFit="1" customWidth="1"/>
    <col min="9" max="9" width="10.5703125" bestFit="1" customWidth="1"/>
    <col min="10" max="10" width="15" bestFit="1" customWidth="1"/>
    <col min="11" max="11" width="13.85546875" bestFit="1" customWidth="1"/>
    <col min="12" max="12" width="13.42578125" bestFit="1" customWidth="1"/>
  </cols>
  <sheetData>
    <row r="1" spans="1:12" x14ac:dyDescent="0.25">
      <c r="A1" t="s">
        <v>397</v>
      </c>
      <c r="B1" t="s">
        <v>398</v>
      </c>
      <c r="C1" t="s">
        <v>443</v>
      </c>
      <c r="D1" t="s">
        <v>238</v>
      </c>
      <c r="E1" t="s">
        <v>277</v>
      </c>
      <c r="F1" t="s">
        <v>399</v>
      </c>
      <c r="G1" t="s">
        <v>400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 spans="1:12" x14ac:dyDescent="0.25">
      <c r="A2" t="s">
        <v>444</v>
      </c>
      <c r="B2" t="s">
        <v>444</v>
      </c>
      <c r="C2" t="s">
        <v>445</v>
      </c>
      <c r="D2">
        <v>13.11</v>
      </c>
      <c r="E2">
        <v>13.11</v>
      </c>
      <c r="F2" t="s">
        <v>446</v>
      </c>
      <c r="G2" s="1">
        <v>45885</v>
      </c>
      <c r="H2" t="s">
        <v>447</v>
      </c>
      <c r="I2" t="s">
        <v>448</v>
      </c>
      <c r="J2" t="s">
        <v>449</v>
      </c>
      <c r="K2" t="s">
        <v>450</v>
      </c>
      <c r="L2" t="s">
        <v>451</v>
      </c>
    </row>
    <row r="3" spans="1:12" x14ac:dyDescent="0.25">
      <c r="A3" t="s">
        <v>452</v>
      </c>
      <c r="B3" t="s">
        <v>452</v>
      </c>
      <c r="C3" t="s">
        <v>445</v>
      </c>
      <c r="D3">
        <v>13.12</v>
      </c>
      <c r="E3">
        <v>13.12</v>
      </c>
      <c r="F3" t="s">
        <v>453</v>
      </c>
      <c r="G3" s="1">
        <v>45886</v>
      </c>
      <c r="H3" t="s">
        <v>454</v>
      </c>
      <c r="I3" t="s">
        <v>455</v>
      </c>
      <c r="J3" t="s">
        <v>456</v>
      </c>
      <c r="K3" t="s">
        <v>457</v>
      </c>
      <c r="L3" t="s">
        <v>458</v>
      </c>
    </row>
    <row r="4" spans="1:12" x14ac:dyDescent="0.25">
      <c r="A4" t="s">
        <v>459</v>
      </c>
      <c r="B4" t="s">
        <v>459</v>
      </c>
      <c r="C4" t="s">
        <v>445</v>
      </c>
      <c r="D4">
        <v>13.13</v>
      </c>
      <c r="E4">
        <v>13.13</v>
      </c>
      <c r="F4" t="s">
        <v>460</v>
      </c>
      <c r="G4" s="1">
        <v>45887</v>
      </c>
      <c r="H4" t="s">
        <v>461</v>
      </c>
      <c r="I4" t="s">
        <v>462</v>
      </c>
      <c r="J4" t="s">
        <v>463</v>
      </c>
      <c r="K4" t="s">
        <v>464</v>
      </c>
      <c r="L4" t="s">
        <v>465</v>
      </c>
    </row>
    <row r="5" spans="1:12" x14ac:dyDescent="0.25">
      <c r="A5" t="s">
        <v>466</v>
      </c>
      <c r="B5" t="s">
        <v>466</v>
      </c>
      <c r="C5" t="s">
        <v>445</v>
      </c>
      <c r="D5">
        <v>13.14</v>
      </c>
      <c r="E5">
        <v>13.14</v>
      </c>
      <c r="F5" t="s">
        <v>467</v>
      </c>
      <c r="G5" s="1">
        <v>45888</v>
      </c>
      <c r="H5" t="s">
        <v>468</v>
      </c>
      <c r="I5" t="s">
        <v>469</v>
      </c>
      <c r="J5" t="s">
        <v>470</v>
      </c>
      <c r="K5" t="s">
        <v>471</v>
      </c>
      <c r="L5" t="s">
        <v>472</v>
      </c>
    </row>
    <row r="6" spans="1:12" x14ac:dyDescent="0.25">
      <c r="A6" t="s">
        <v>473</v>
      </c>
      <c r="B6" t="s">
        <v>473</v>
      </c>
      <c r="C6" t="s">
        <v>445</v>
      </c>
      <c r="D6">
        <v>13.15</v>
      </c>
      <c r="E6">
        <v>13.15</v>
      </c>
      <c r="F6" t="s">
        <v>474</v>
      </c>
      <c r="G6" s="1">
        <v>45889</v>
      </c>
      <c r="H6" t="s">
        <v>475</v>
      </c>
      <c r="I6" t="s">
        <v>476</v>
      </c>
      <c r="J6" t="s">
        <v>477</v>
      </c>
      <c r="K6" t="s">
        <v>478</v>
      </c>
      <c r="L6" t="s">
        <v>479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K6"/>
  <sheetViews>
    <sheetView workbookViewId="0"/>
  </sheetViews>
  <sheetFormatPr defaultRowHeight="15" x14ac:dyDescent="0.25"/>
  <cols>
    <col min="1" max="1" width="17.28515625" bestFit="1" customWidth="1"/>
    <col min="2" max="2" width="18.8554687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14.28515625" bestFit="1" customWidth="1"/>
    <col min="8" max="8" width="10.5703125" bestFit="1" customWidth="1"/>
    <col min="9" max="9" width="15" bestFit="1" customWidth="1"/>
    <col min="10" max="10" width="13.85546875" bestFit="1" customWidth="1"/>
    <col min="11" max="11" width="14.28515625" bestFit="1" customWidth="1"/>
  </cols>
  <sheetData>
    <row r="1" spans="1:11" x14ac:dyDescent="0.25">
      <c r="A1" t="s">
        <v>397</v>
      </c>
      <c r="B1" t="s">
        <v>398</v>
      </c>
      <c r="C1" t="s">
        <v>238</v>
      </c>
      <c r="D1" t="s">
        <v>277</v>
      </c>
      <c r="E1" t="s">
        <v>399</v>
      </c>
      <c r="F1" t="s">
        <v>400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</row>
    <row r="2" spans="1:11" x14ac:dyDescent="0.25">
      <c r="A2" t="s">
        <v>480</v>
      </c>
      <c r="B2" t="s">
        <v>473</v>
      </c>
      <c r="C2">
        <v>14.11</v>
      </c>
      <c r="D2">
        <v>14.11</v>
      </c>
      <c r="E2" t="s">
        <v>481</v>
      </c>
      <c r="F2" s="1">
        <v>45890</v>
      </c>
      <c r="G2" t="s">
        <v>482</v>
      </c>
      <c r="H2" t="s">
        <v>483</v>
      </c>
      <c r="I2" t="s">
        <v>484</v>
      </c>
      <c r="J2" t="s">
        <v>485</v>
      </c>
      <c r="K2" t="s">
        <v>486</v>
      </c>
    </row>
    <row r="3" spans="1:11" x14ac:dyDescent="0.25">
      <c r="A3" t="s">
        <v>487</v>
      </c>
      <c r="B3" t="s">
        <v>488</v>
      </c>
      <c r="C3">
        <v>14.12</v>
      </c>
      <c r="D3">
        <v>14.12</v>
      </c>
      <c r="E3" t="s">
        <v>489</v>
      </c>
      <c r="F3" s="1">
        <v>45891</v>
      </c>
      <c r="G3" t="s">
        <v>490</v>
      </c>
      <c r="H3" t="s">
        <v>491</v>
      </c>
      <c r="I3" t="s">
        <v>492</v>
      </c>
      <c r="J3" t="s">
        <v>493</v>
      </c>
      <c r="K3" t="s">
        <v>494</v>
      </c>
    </row>
    <row r="4" spans="1:11" x14ac:dyDescent="0.25">
      <c r="A4" t="s">
        <v>495</v>
      </c>
      <c r="B4" t="s">
        <v>496</v>
      </c>
      <c r="C4">
        <v>14.13</v>
      </c>
      <c r="D4">
        <v>14.13</v>
      </c>
      <c r="E4" t="s">
        <v>497</v>
      </c>
      <c r="F4" s="1">
        <v>45892</v>
      </c>
      <c r="G4" t="s">
        <v>498</v>
      </c>
      <c r="H4" t="s">
        <v>499</v>
      </c>
      <c r="I4" t="s">
        <v>500</v>
      </c>
      <c r="J4" t="s">
        <v>501</v>
      </c>
      <c r="K4" t="s">
        <v>502</v>
      </c>
    </row>
    <row r="5" spans="1:11" x14ac:dyDescent="0.25">
      <c r="A5" t="s">
        <v>503</v>
      </c>
      <c r="B5" t="s">
        <v>504</v>
      </c>
      <c r="C5">
        <v>14.14</v>
      </c>
      <c r="D5">
        <v>14.14</v>
      </c>
      <c r="E5" t="s">
        <v>505</v>
      </c>
      <c r="F5" s="1">
        <v>45893</v>
      </c>
      <c r="G5" t="s">
        <v>506</v>
      </c>
      <c r="H5" t="s">
        <v>507</v>
      </c>
      <c r="I5" t="s">
        <v>508</v>
      </c>
      <c r="J5" t="s">
        <v>509</v>
      </c>
      <c r="K5" t="s">
        <v>510</v>
      </c>
    </row>
    <row r="6" spans="1:11" x14ac:dyDescent="0.25">
      <c r="A6" t="s">
        <v>511</v>
      </c>
      <c r="B6" t="s">
        <v>512</v>
      </c>
      <c r="C6">
        <v>14.15</v>
      </c>
      <c r="D6">
        <v>14.15</v>
      </c>
      <c r="E6" t="s">
        <v>513</v>
      </c>
      <c r="F6" s="1">
        <v>45894</v>
      </c>
      <c r="G6" t="s">
        <v>514</v>
      </c>
      <c r="H6" t="s">
        <v>515</v>
      </c>
      <c r="I6" t="s">
        <v>516</v>
      </c>
      <c r="J6" t="s">
        <v>517</v>
      </c>
      <c r="K6" t="s">
        <v>518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B2"/>
  <sheetViews>
    <sheetView workbookViewId="0"/>
  </sheetViews>
  <sheetFormatPr defaultRowHeight="15" x14ac:dyDescent="0.25"/>
  <cols>
    <col min="1" max="1" width="20.140625" bestFit="1" customWidth="1"/>
    <col min="2" max="2" width="13.5703125" bestFit="1" customWidth="1"/>
  </cols>
  <sheetData>
    <row r="1" spans="1:2" x14ac:dyDescent="0.25">
      <c r="A1" t="s">
        <v>519</v>
      </c>
      <c r="B1" t="s">
        <v>520</v>
      </c>
    </row>
    <row r="2" spans="1:2" x14ac:dyDescent="0.25">
      <c r="A2" t="s">
        <v>60</v>
      </c>
      <c r="B2" t="s">
        <v>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B2"/>
  <sheetViews>
    <sheetView workbookViewId="0"/>
  </sheetViews>
  <sheetFormatPr defaultRowHeight="15" x14ac:dyDescent="0.25"/>
  <cols>
    <col min="1" max="1" width="12.5703125" bestFit="1" customWidth="1"/>
    <col min="2" max="2" width="11.5703125" bestFit="1" customWidth="1"/>
  </cols>
  <sheetData>
    <row r="1" spans="1:2" x14ac:dyDescent="0.25">
      <c r="A1" t="s">
        <v>521</v>
      </c>
      <c r="B1" t="s">
        <v>522</v>
      </c>
    </row>
    <row r="2" spans="1:2" x14ac:dyDescent="0.25">
      <c r="A2">
        <v>1402</v>
      </c>
      <c r="B2" s="1">
        <v>45849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523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  <c r="G1" t="s">
        <v>529</v>
      </c>
    </row>
    <row r="2" spans="1:7" x14ac:dyDescent="0.25">
      <c r="A2" t="s">
        <v>530</v>
      </c>
      <c r="B2" s="1">
        <v>45895</v>
      </c>
      <c r="C2" t="s">
        <v>531</v>
      </c>
      <c r="D2" t="s">
        <v>532</v>
      </c>
      <c r="E2" t="s">
        <v>533</v>
      </c>
      <c r="F2" t="s">
        <v>534</v>
      </c>
      <c r="G2" t="s">
        <v>535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</row>
    <row r="2" spans="1:16" x14ac:dyDescent="0.25">
      <c r="A2" t="s">
        <v>536</v>
      </c>
      <c r="B2" t="s">
        <v>537</v>
      </c>
      <c r="C2" t="s">
        <v>538</v>
      </c>
      <c r="D2" t="s">
        <v>539</v>
      </c>
      <c r="E2" t="s">
        <v>540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60</v>
      </c>
      <c r="O2" t="s">
        <v>60</v>
      </c>
      <c r="P2" t="s">
        <v>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BK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2.7109375" bestFit="1" customWidth="1"/>
    <col min="4" max="4" width="18.140625" bestFit="1" customWidth="1"/>
    <col min="5" max="5" width="13.140625" bestFit="1" customWidth="1"/>
    <col min="6" max="6" width="8.7109375" bestFit="1" customWidth="1"/>
    <col min="7" max="7" width="19.28515625" bestFit="1" customWidth="1"/>
    <col min="8" max="9" width="6" bestFit="1" customWidth="1"/>
    <col min="10" max="10" width="4.85546875" bestFit="1" customWidth="1"/>
    <col min="11" max="11" width="6" bestFit="1" customWidth="1"/>
    <col min="12" max="12" width="16.5703125" bestFit="1" customWidth="1"/>
    <col min="13" max="13" width="11.42578125" bestFit="1" customWidth="1"/>
    <col min="14" max="14" width="8" bestFit="1" customWidth="1"/>
    <col min="15" max="15" width="23.42578125" bestFit="1" customWidth="1"/>
    <col min="16" max="16" width="11" bestFit="1" customWidth="1"/>
    <col min="17" max="17" width="26.5703125" bestFit="1" customWidth="1"/>
    <col min="18" max="18" width="13.28515625" bestFit="1" customWidth="1"/>
    <col min="19" max="19" width="28.7109375" bestFit="1" customWidth="1"/>
    <col min="20" max="20" width="17.85546875" bestFit="1" customWidth="1"/>
    <col min="21" max="21" width="17.7109375" bestFit="1" customWidth="1"/>
    <col min="22" max="22" width="17.28515625" bestFit="1" customWidth="1"/>
    <col min="23" max="23" width="17.5703125" bestFit="1" customWidth="1"/>
    <col min="24" max="24" width="16.5703125" bestFit="1" customWidth="1"/>
    <col min="25" max="25" width="11.140625" bestFit="1" customWidth="1"/>
    <col min="26" max="26" width="39.28515625" bestFit="1" customWidth="1"/>
    <col min="27" max="27" width="16" bestFit="1" customWidth="1"/>
    <col min="28" max="28" width="16.28515625" bestFit="1" customWidth="1"/>
    <col min="29" max="29" width="17.42578125" bestFit="1" customWidth="1"/>
    <col min="30" max="30" width="17" bestFit="1" customWidth="1"/>
    <col min="31" max="31" width="19.5703125" bestFit="1" customWidth="1"/>
    <col min="32" max="32" width="11.28515625" bestFit="1" customWidth="1"/>
    <col min="33" max="33" width="19.42578125" bestFit="1" customWidth="1"/>
    <col min="34" max="34" width="14" bestFit="1" customWidth="1"/>
    <col min="35" max="36" width="16.85546875" bestFit="1" customWidth="1"/>
    <col min="37" max="37" width="14.5703125" bestFit="1" customWidth="1"/>
    <col min="38" max="38" width="33" bestFit="1" customWidth="1"/>
    <col min="39" max="39" width="15.140625" bestFit="1" customWidth="1"/>
    <col min="40" max="40" width="33.5703125" bestFit="1" customWidth="1"/>
    <col min="41" max="41" width="10.5703125" bestFit="1" customWidth="1"/>
    <col min="42" max="42" width="29" bestFit="1" customWidth="1"/>
    <col min="43" max="43" width="22.85546875" bestFit="1" customWidth="1"/>
    <col min="44" max="44" width="28.28515625" bestFit="1" customWidth="1"/>
    <col min="45" max="45" width="6" bestFit="1" customWidth="1"/>
    <col min="46" max="46" width="8.7109375" bestFit="1" customWidth="1"/>
    <col min="47" max="47" width="18.140625" bestFit="1" customWidth="1"/>
    <col min="48" max="48" width="6" bestFit="1" customWidth="1"/>
    <col min="49" max="49" width="22.7109375" bestFit="1" customWidth="1"/>
    <col min="50" max="50" width="15" bestFit="1" customWidth="1"/>
    <col min="51" max="51" width="24.28515625" bestFit="1" customWidth="1"/>
    <col min="52" max="52" width="15.28515625" bestFit="1" customWidth="1"/>
    <col min="53" max="53" width="18.140625" bestFit="1" customWidth="1"/>
    <col min="54" max="54" width="20" bestFit="1" customWidth="1"/>
    <col min="55" max="55" width="18" bestFit="1" customWidth="1"/>
    <col min="56" max="56" width="23.140625" bestFit="1" customWidth="1"/>
    <col min="57" max="57" width="21" bestFit="1" customWidth="1"/>
    <col min="58" max="59" width="15.5703125" bestFit="1" customWidth="1"/>
    <col min="60" max="60" width="14.5703125" bestFit="1" customWidth="1"/>
    <col min="61" max="62" width="20.42578125" bestFit="1" customWidth="1"/>
    <col min="63" max="63" width="19.42578125" bestFit="1" customWidth="1"/>
  </cols>
  <sheetData>
    <row r="1" spans="1:63" x14ac:dyDescent="0.25">
      <c r="A1" t="s">
        <v>94</v>
      </c>
      <c r="B1" t="s">
        <v>95</v>
      </c>
      <c r="C1" t="s">
        <v>96</v>
      </c>
      <c r="D1" t="s">
        <v>97</v>
      </c>
      <c r="E1" t="s">
        <v>102</v>
      </c>
      <c r="F1" t="s">
        <v>541</v>
      </c>
      <c r="G1" t="s">
        <v>116</v>
      </c>
      <c r="H1" t="s">
        <v>8</v>
      </c>
      <c r="I1" t="s">
        <v>9</v>
      </c>
      <c r="J1" t="s">
        <v>10</v>
      </c>
      <c r="K1" t="s">
        <v>11</v>
      </c>
      <c r="L1" t="s">
        <v>542</v>
      </c>
      <c r="M1" t="s">
        <v>124</v>
      </c>
      <c r="N1" t="s">
        <v>239</v>
      </c>
      <c r="O1" t="s">
        <v>543</v>
      </c>
      <c r="P1" t="s">
        <v>241</v>
      </c>
      <c r="Q1" t="s">
        <v>544</v>
      </c>
      <c r="R1" t="s">
        <v>6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332</v>
      </c>
      <c r="Z1" t="s">
        <v>551</v>
      </c>
      <c r="AA1" t="s">
        <v>55</v>
      </c>
      <c r="AB1" t="s">
        <v>125</v>
      </c>
      <c r="AC1" t="s">
        <v>552</v>
      </c>
      <c r="AD1" t="s">
        <v>553</v>
      </c>
      <c r="AE1" t="s">
        <v>554</v>
      </c>
      <c r="AF1" t="s">
        <v>353</v>
      </c>
      <c r="AG1" t="s">
        <v>555</v>
      </c>
      <c r="AH1" t="s">
        <v>556</v>
      </c>
      <c r="AI1" t="s">
        <v>557</v>
      </c>
      <c r="AJ1" t="s">
        <v>558</v>
      </c>
      <c r="AK1" t="s">
        <v>559</v>
      </c>
      <c r="AL1" t="s">
        <v>560</v>
      </c>
      <c r="AM1" t="s">
        <v>561</v>
      </c>
      <c r="AN1" t="s">
        <v>562</v>
      </c>
      <c r="AO1" t="s">
        <v>563</v>
      </c>
      <c r="AP1" t="s">
        <v>564</v>
      </c>
      <c r="AQ1" t="s">
        <v>565</v>
      </c>
      <c r="AR1" t="s">
        <v>566</v>
      </c>
      <c r="AS1" t="s">
        <v>14</v>
      </c>
      <c r="AT1" t="s">
        <v>15</v>
      </c>
      <c r="AU1" t="s">
        <v>16</v>
      </c>
      <c r="AV1" t="s">
        <v>17</v>
      </c>
      <c r="AW1" t="s">
        <v>567</v>
      </c>
      <c r="AX1" t="s">
        <v>568</v>
      </c>
      <c r="AY1" t="s">
        <v>569</v>
      </c>
      <c r="AZ1" t="s">
        <v>570</v>
      </c>
      <c r="BA1" t="s">
        <v>571</v>
      </c>
      <c r="BB1" t="s">
        <v>572</v>
      </c>
      <c r="BC1" t="s">
        <v>573</v>
      </c>
      <c r="BD1" t="s">
        <v>574</v>
      </c>
      <c r="BE1" t="s">
        <v>575</v>
      </c>
      <c r="BF1" t="s">
        <v>576</v>
      </c>
      <c r="BG1" t="s">
        <v>577</v>
      </c>
      <c r="BH1" t="s">
        <v>123</v>
      </c>
      <c r="BI1" t="s">
        <v>578</v>
      </c>
      <c r="BJ1" t="s">
        <v>579</v>
      </c>
      <c r="BK1" t="s">
        <v>120</v>
      </c>
    </row>
    <row r="2" spans="1:63" x14ac:dyDescent="0.25">
      <c r="A2">
        <v>5.4930000000000003</v>
      </c>
      <c r="B2">
        <v>5.4930000000000003</v>
      </c>
      <c r="C2">
        <v>5.33</v>
      </c>
      <c r="D2">
        <v>5.33</v>
      </c>
      <c r="E2">
        <v>1205.06</v>
      </c>
      <c r="F2">
        <v>60.91</v>
      </c>
      <c r="G2">
        <v>1144.1500000000001</v>
      </c>
      <c r="H2">
        <v>79.88</v>
      </c>
      <c r="I2">
        <v>79.88</v>
      </c>
      <c r="J2">
        <v>0</v>
      </c>
      <c r="K2">
        <v>45.12</v>
      </c>
      <c r="L2">
        <v>204.88</v>
      </c>
      <c r="M2">
        <v>1349.03</v>
      </c>
      <c r="N2">
        <v>37.11</v>
      </c>
      <c r="O2">
        <v>1386.14</v>
      </c>
      <c r="P2">
        <v>60.69</v>
      </c>
      <c r="Q2">
        <v>1325.45</v>
      </c>
      <c r="R2">
        <v>7.35</v>
      </c>
      <c r="S2">
        <v>1332.8</v>
      </c>
      <c r="T2">
        <v>0.46</v>
      </c>
      <c r="U2">
        <v>0.46</v>
      </c>
      <c r="V2">
        <v>0</v>
      </c>
      <c r="W2">
        <v>0.4</v>
      </c>
      <c r="X2">
        <v>1.32</v>
      </c>
      <c r="Y2">
        <v>206.2</v>
      </c>
      <c r="Z2">
        <v>1334.12</v>
      </c>
      <c r="AA2" t="s">
        <v>78</v>
      </c>
      <c r="AB2">
        <v>1357.7</v>
      </c>
      <c r="AC2">
        <v>1349.03</v>
      </c>
      <c r="AD2">
        <v>8.67</v>
      </c>
      <c r="AE2">
        <v>0</v>
      </c>
      <c r="AF2">
        <v>67.88</v>
      </c>
      <c r="AG2">
        <v>1402</v>
      </c>
      <c r="AH2">
        <v>1</v>
      </c>
      <c r="AI2" t="s">
        <v>71</v>
      </c>
      <c r="AJ2">
        <v>0</v>
      </c>
      <c r="AK2">
        <v>0</v>
      </c>
      <c r="AL2">
        <v>0</v>
      </c>
      <c r="AM2">
        <v>0</v>
      </c>
      <c r="AN2">
        <v>0</v>
      </c>
      <c r="AO2">
        <v>1402</v>
      </c>
      <c r="AP2">
        <v>1402</v>
      </c>
      <c r="AQ2">
        <v>0</v>
      </c>
      <c r="AR2">
        <v>1402</v>
      </c>
      <c r="AS2">
        <v>55.65</v>
      </c>
      <c r="AT2">
        <v>60.65</v>
      </c>
      <c r="AU2">
        <v>65.650000000000006</v>
      </c>
      <c r="AV2">
        <v>70.650000000000006</v>
      </c>
      <c r="AW2">
        <v>136.30000000000001</v>
      </c>
      <c r="AX2">
        <v>252.6</v>
      </c>
      <c r="AY2">
        <v>1149.4000000000001</v>
      </c>
      <c r="AZ2">
        <v>1149.4000000000001</v>
      </c>
      <c r="BA2">
        <v>0</v>
      </c>
      <c r="BB2">
        <v>37.11</v>
      </c>
      <c r="BC2">
        <v>0</v>
      </c>
      <c r="BD2">
        <v>60.69</v>
      </c>
      <c r="BE2">
        <v>0</v>
      </c>
      <c r="BF2">
        <v>0</v>
      </c>
      <c r="BG2">
        <v>0</v>
      </c>
      <c r="BH2">
        <v>0</v>
      </c>
      <c r="BI2">
        <v>1144.1500000000001</v>
      </c>
      <c r="BJ2">
        <v>7.35</v>
      </c>
      <c r="BK2">
        <v>1151.5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L2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28515625" bestFit="1" customWidth="1"/>
    <col min="12" max="12" width="9.85546875" bestFit="1" customWidth="1"/>
  </cols>
  <sheetData>
    <row r="1" spans="1:12" x14ac:dyDescent="0.25">
      <c r="A1" t="s">
        <v>40</v>
      </c>
      <c r="B1" t="s">
        <v>580</v>
      </c>
      <c r="C1" t="s">
        <v>581</v>
      </c>
      <c r="D1" t="s">
        <v>582</v>
      </c>
      <c r="E1" t="s">
        <v>583</v>
      </c>
      <c r="F1" t="s">
        <v>584</v>
      </c>
      <c r="G1" t="s">
        <v>33</v>
      </c>
      <c r="H1" t="s">
        <v>34</v>
      </c>
      <c r="I1" t="s">
        <v>585</v>
      </c>
      <c r="J1" t="s">
        <v>586</v>
      </c>
      <c r="K1" t="s">
        <v>587</v>
      </c>
      <c r="L1" t="s">
        <v>44</v>
      </c>
    </row>
    <row r="2" spans="1:12" x14ac:dyDescent="0.25">
      <c r="A2" t="s">
        <v>67</v>
      </c>
      <c r="B2" t="s">
        <v>588</v>
      </c>
      <c r="C2" t="s">
        <v>589</v>
      </c>
      <c r="D2" t="s">
        <v>590</v>
      </c>
      <c r="E2" t="s">
        <v>591</v>
      </c>
      <c r="F2" t="s">
        <v>590</v>
      </c>
      <c r="G2" t="s">
        <v>63</v>
      </c>
      <c r="H2" t="s">
        <v>64</v>
      </c>
      <c r="I2" t="s">
        <v>592</v>
      </c>
      <c r="J2" t="s">
        <v>593</v>
      </c>
      <c r="K2" t="s">
        <v>71</v>
      </c>
      <c r="L2" t="s">
        <v>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L2"/>
  <sheetViews>
    <sheetView workbookViewId="0"/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5703125" bestFit="1" customWidth="1"/>
    <col min="12" max="12" width="11" bestFit="1" customWidth="1"/>
  </cols>
  <sheetData>
    <row r="1" spans="1:12" x14ac:dyDescent="0.25">
      <c r="A1" t="s">
        <v>40</v>
      </c>
      <c r="B1" t="s">
        <v>580</v>
      </c>
      <c r="C1" t="s">
        <v>581</v>
      </c>
      <c r="D1" t="s">
        <v>582</v>
      </c>
      <c r="E1" t="s">
        <v>583</v>
      </c>
      <c r="F1" t="s">
        <v>584</v>
      </c>
      <c r="G1" t="s">
        <v>33</v>
      </c>
      <c r="H1" t="s">
        <v>34</v>
      </c>
      <c r="I1" t="s">
        <v>585</v>
      </c>
      <c r="J1" t="s">
        <v>586</v>
      </c>
      <c r="K1" t="s">
        <v>587</v>
      </c>
      <c r="L1" t="s">
        <v>44</v>
      </c>
    </row>
    <row r="2" spans="1:12" x14ac:dyDescent="0.25">
      <c r="A2" t="s">
        <v>67</v>
      </c>
      <c r="B2" t="s">
        <v>588</v>
      </c>
      <c r="C2" t="s">
        <v>589</v>
      </c>
      <c r="D2" t="s">
        <v>590</v>
      </c>
      <c r="E2" t="s">
        <v>591</v>
      </c>
      <c r="F2" t="s">
        <v>590</v>
      </c>
      <c r="G2" t="s">
        <v>63</v>
      </c>
      <c r="H2" t="s">
        <v>64</v>
      </c>
      <c r="I2" t="s">
        <v>592</v>
      </c>
      <c r="J2" t="s">
        <v>593</v>
      </c>
      <c r="K2" t="s">
        <v>594</v>
      </c>
      <c r="L2" t="s">
        <v>595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596</v>
      </c>
      <c r="B1" t="s">
        <v>597</v>
      </c>
      <c r="C1" t="s">
        <v>131</v>
      </c>
    </row>
    <row r="2" spans="1:3" x14ac:dyDescent="0.25">
      <c r="A2" t="s">
        <v>598</v>
      </c>
      <c r="B2" t="s">
        <v>599</v>
      </c>
      <c r="C2" t="s">
        <v>600</v>
      </c>
    </row>
    <row r="3" spans="1:3" x14ac:dyDescent="0.25">
      <c r="A3" t="s">
        <v>601</v>
      </c>
      <c r="B3" t="s">
        <v>602</v>
      </c>
      <c r="C3" t="s">
        <v>603</v>
      </c>
    </row>
    <row r="4" spans="1:3" x14ac:dyDescent="0.25">
      <c r="A4" t="s">
        <v>604</v>
      </c>
      <c r="B4" t="s">
        <v>605</v>
      </c>
      <c r="C4" t="s">
        <v>606</v>
      </c>
    </row>
    <row r="5" spans="1:3" x14ac:dyDescent="0.25">
      <c r="A5" t="s">
        <v>607</v>
      </c>
      <c r="B5" t="s">
        <v>608</v>
      </c>
      <c r="C5" t="s">
        <v>609</v>
      </c>
    </row>
    <row r="6" spans="1:3" x14ac:dyDescent="0.25">
      <c r="A6" t="s">
        <v>610</v>
      </c>
      <c r="B6" t="s">
        <v>611</v>
      </c>
      <c r="C6" t="s">
        <v>612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13.28515625" bestFit="1" customWidth="1"/>
    <col min="2" max="2" width="8.7109375" bestFit="1" customWidth="1"/>
    <col min="3" max="3" width="14" bestFit="1" customWidth="1"/>
    <col min="4" max="4" width="12.7109375" bestFit="1" customWidth="1"/>
  </cols>
  <sheetData>
    <row r="1" spans="1:4" x14ac:dyDescent="0.25">
      <c r="A1" t="s">
        <v>127</v>
      </c>
      <c r="B1" t="s">
        <v>128</v>
      </c>
      <c r="C1" t="s">
        <v>129</v>
      </c>
      <c r="D1" t="s">
        <v>130</v>
      </c>
    </row>
    <row r="2" spans="1:4" x14ac:dyDescent="0.25">
      <c r="A2" t="s">
        <v>158</v>
      </c>
      <c r="B2" t="s">
        <v>159</v>
      </c>
      <c r="C2" t="s">
        <v>160</v>
      </c>
      <c r="D2" t="s">
        <v>161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Tables</vt:lpstr>
      <vt:lpstr>GeneralInformation</vt:lpstr>
      <vt:lpstr>Items</vt:lpstr>
      <vt:lpstr>ChargesAndDeductions</vt:lpstr>
      <vt:lpstr>OtherCharges</vt:lpstr>
      <vt:lpstr>SerialNos</vt:lpstr>
      <vt:lpstr>CGST</vt:lpstr>
      <vt:lpstr>SGST</vt:lpstr>
      <vt:lpstr>IGST</vt:lpstr>
      <vt:lpstr>CESS</vt:lpstr>
      <vt:lpstr>TCS</vt:lpstr>
      <vt:lpstr>BillsReceivable</vt:lpstr>
      <vt:lpstr>Cash</vt:lpstr>
      <vt:lpstr>Cheques</vt:lpstr>
      <vt:lpstr>PostDatedCheques</vt:lpstr>
      <vt:lpstr>PDC</vt:lpstr>
      <vt:lpstr>EInvoiceDetails</vt:lpstr>
      <vt:lpstr>InvoiceDetails</vt:lpstr>
      <vt:lpstr>OtherInfo</vt:lpstr>
      <vt:lpstr>AdditionalInformation</vt:lpstr>
      <vt:lpstr>Summary</vt:lpstr>
      <vt:lpstr>BillingAddress</vt:lpstr>
      <vt:lpstr>ShippingAddress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2025-07-17T10:27:08Z</dcterms:created>
  <dcterms:modified xsi:type="dcterms:W3CDTF">2025-07-29T08:53:35Z</dcterms:modified>
</cp:coreProperties>
</file>
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Automation\src\main\resources\menuItems\Sales\Transactions\"/>
    </mc:Choice>
  </mc:AlternateContent>
  <xr:revisionPtr revIDLastSave="0" documentId="13_ncr:1_{FBFD9765-DEF4-4223-93F2-05DFF13798AA}" xr6:coauthVersionLast="36" xr6:coauthVersionMax="36" xr10:uidLastSave="{00000000-0000-0000-0000-000000000000}"/>
  <bookViews>
    <workbookView xWindow="32760" yWindow="32760" windowWidth="32760" windowHeight="32760" tabRatio="945" firstSheet="12" activeTab="20" xr2:uid="{00000000-000D-0000-FFFF-FFFF00000000}"/>
  </bookViews>
  <sheets>
    <sheet name="Tables" sheetId="1" r:id="rId1"/>
    <sheet name="AB_PendingBillsCreation" sheetId="24" r:id="rId2"/>
    <sheet name="AB_PendingBills$able0" sheetId="25" r:id="rId3"/>
    <sheet name="AB_PendingBillsSetoff" sheetId="26" r:id="rId4"/>
    <sheet name="AB_PendingBills$able1" sheetId="27" r:id="rId5"/>
    <sheet name="AB2_Payments_BankDetails" sheetId="28" r:id="rId6"/>
    <sheet name="AB2_Payments_CashDetails" sheetId="29" r:id="rId7"/>
    <sheet name="AB2_Payments_ChargesDetails" sheetId="30" r:id="rId8"/>
    <sheet name="AB2_Payments_ChequeDetails" sheetId="31" r:id="rId9"/>
    <sheet name="AB2_Payments_PDCDetails" sheetId="32" r:id="rId10"/>
    <sheet name="AB2_Payments_PDCWithChequeDate" sheetId="33" r:id="rId11"/>
    <sheet name="AB2_Payments_TCSDetails" sheetId="34" r:id="rId12"/>
    <sheet name="AB2_Sales_Party$ails2" sheetId="35" r:id="rId13"/>
    <sheet name="AB2_Sales_Vouch$ails3" sheetId="36" r:id="rId14"/>
    <sheet name="AB2_SalesReturn$ions4" sheetId="37" r:id="rId15"/>
    <sheet name="AB2_SalesReturn$rges5" sheetId="38" r:id="rId16"/>
    <sheet name="AB2_SalesReturnsDiscountDetails" sheetId="39" r:id="rId17"/>
    <sheet name="AB2_SalesReturn$ails6" sheetId="40" r:id="rId18"/>
    <sheet name="AB2_SalesReturn$ails7" sheetId="41" r:id="rId19"/>
    <sheet name="AC_SalesReturns$mary8" sheetId="42" r:id="rId20"/>
    <sheet name="AccountLedger" sheetId="43" r:id="rId21"/>
    <sheet name="AccountLedger_Helper" sheetId="44" r:id="rId22"/>
    <sheet name="BRS_Transaction$ails9" sheetId="45" r:id="rId23"/>
    <sheet name="FreeStockReceivedDetails" sheetId="46" r:id="rId24"/>
    <sheet name="GST_Outward_EInvoice_Details" sheetId="47" r:id="rId25"/>
    <sheet name="GST_Outward_EInvoice_Summary" sheetId="48" r:id="rId26"/>
    <sheet name="GST_OutwardDetailsForMonthEnd" sheetId="49" r:id="rId27"/>
    <sheet name="GST_OutwardInfo$Ver110" sheetId="50" r:id="rId28"/>
    <sheet name="GST_Party_BillingAddress_Table" sheetId="51" r:id="rId29"/>
    <sheet name="GST_Party_ShippingAddress_Table" sheetId="52" r:id="rId30"/>
    <sheet name="GST_Product_HSNCode" sheetId="53" r:id="rId31"/>
    <sheet name="GST_Purchase_GSTCESS" sheetId="54" r:id="rId32"/>
    <sheet name="GST_Purchase_HeaderDetails" sheetId="55" r:id="rId33"/>
    <sheet name="GST_Purchases_CESSDetails" sheetId="56" r:id="rId34"/>
    <sheet name="GST_Purchases_CGSTDetails" sheetId="57" r:id="rId35"/>
    <sheet name="GST_Purchases_GSTDetails" sheetId="58" r:id="rId36"/>
    <sheet name="GST_Purchases_IGSTDetails" sheetId="59" r:id="rId37"/>
    <sheet name="GST_Purchases_SGSTDetails" sheetId="60" r:id="rId38"/>
    <sheet name="GST_Transaction$Type11" sheetId="61" r:id="rId39"/>
    <sheet name="GST_Transaction$ails12" sheetId="62" r:id="rId40"/>
    <sheet name="ItemSerialNoStockLedger_Table" sheetId="63" r:id="rId41"/>
    <sheet name="ItemStockLedger" sheetId="64" r:id="rId42"/>
    <sheet name="ItemStockLedger_Helper" sheetId="65" r:id="rId43"/>
    <sheet name="ItemStockValuation" sheetId="66" r:id="rId44"/>
    <sheet name="PendingItemsTab$ssed13" sheetId="67" r:id="rId45"/>
    <sheet name="PendingItemsTab$d_V114" sheetId="68" r:id="rId46"/>
    <sheet name="Shared_Collections_Cash_Table" sheetId="69" r:id="rId47"/>
    <sheet name="Shared_Collecti$able15" sheetId="70" r:id="rId48"/>
    <sheet name="Shared_Collections_PDC_Table" sheetId="71" r:id="rId49"/>
    <sheet name="Shared_Collecti$able16" sheetId="72" r:id="rId50"/>
    <sheet name="Shared_SalesInv$able17" sheetId="73" r:id="rId51"/>
    <sheet name="Shared_SalesInvoice_Items_Table" sheetId="74" r:id="rId52"/>
    <sheet name="Shared_SalesInv$able18" sheetId="75" r:id="rId53"/>
    <sheet name="Shared_SalesInv$able19" sheetId="76" r:id="rId54"/>
    <sheet name="Transaction_Bod$able20" sheetId="77" r:id="rId55"/>
    <sheet name="Transaction_Bod$able21" sheetId="78" r:id="rId56"/>
    <sheet name="Transaction_Bod$able22" sheetId="79" r:id="rId57"/>
    <sheet name="Transaction_Bod$able23" sheetId="80" r:id="rId58"/>
    <sheet name="Transaction_Bod$able24" sheetId="81" r:id="rId59"/>
    <sheet name="Transaction_Bod$able25" sheetId="82" r:id="rId60"/>
    <sheet name="Transaction_Bod$able26" sheetId="83" r:id="rId61"/>
    <sheet name="Transaction_Bod$able27" sheetId="84" r:id="rId62"/>
    <sheet name="Transaction_CostCentre" sheetId="85" r:id="rId63"/>
    <sheet name="Transaction_Department" sheetId="86" r:id="rId64"/>
    <sheet name="Transaction_Division" sheetId="87" r:id="rId65"/>
    <sheet name="Transaction_EntryUser" sheetId="88" r:id="rId66"/>
    <sheet name="Transaction_Executive_Table" sheetId="89" r:id="rId67"/>
    <sheet name="Transaction_GeneralInformation" sheetId="90" r:id="rId68"/>
    <sheet name="Transaction_Hea$able28" sheetId="91" r:id="rId69"/>
    <sheet name="Transaction_Hea$able29" sheetId="92" r:id="rId70"/>
    <sheet name="Transaction_Hea$able30" sheetId="93" r:id="rId71"/>
    <sheet name="Transaction_Hea$able31" sheetId="94" r:id="rId72"/>
    <sheet name="Transaction_Hea$able32" sheetId="95" r:id="rId73"/>
    <sheet name="Transaction_Hea$able33" sheetId="96" r:id="rId74"/>
    <sheet name="Transaction_Hea$able34" sheetId="97" r:id="rId75"/>
    <sheet name="Transaction_Hea$able35" sheetId="98" r:id="rId76"/>
    <sheet name="Transaction_Hea$able36" sheetId="99" r:id="rId77"/>
    <sheet name="Transaction_Header_PartyAccount" sheetId="100" r:id="rId78"/>
    <sheet name="Transaction_LineComments_Table" sheetId="101" r:id="rId79"/>
    <sheet name="Transaction_Location_Table" sheetId="102" r:id="rId80"/>
    <sheet name="Transaction_LRDetails" sheetId="103" r:id="rId81"/>
    <sheet name="Transaction_OtherInfo_Table" sheetId="104" r:id="rId82"/>
    <sheet name="Transaction_ProfitCentre" sheetId="105" r:id="rId83"/>
    <sheet name="Transaction_Project" sheetId="106" r:id="rId84"/>
    <sheet name="Transaction_Ref$ails37" sheetId="107" r:id="rId85"/>
    <sheet name="Transaction_Remarks" sheetId="108" r:id="rId86"/>
    <sheet name="Transaction_Seg$able38" sheetId="109" r:id="rId87"/>
    <sheet name="Transaction_TermsAndConditions" sheetId="110" r:id="rId88"/>
    <sheet name="Transaction_VoucherType_Table" sheetId="111" r:id="rId89"/>
    <sheet name="V19_CreditNoteO$ails39" sheetId="112" r:id="rId90"/>
    <sheet name="V19_Transaction$List40" sheetId="113" r:id="rId91"/>
    <sheet name="V19_Transaction$Ver141" sheetId="114" r:id="rId92"/>
    <sheet name="V19_Transaction_TaxStructure" sheetId="115" r:id="rId93"/>
    <sheet name="V19_Transaction$Type42" sheetId="116" r:id="rId94"/>
    <sheet name="V22_InvoiceValu$ails43" sheetId="117" r:id="rId95"/>
    <sheet name="V22_Trans_Heade$Type44" sheetId="118" r:id="rId96"/>
    <sheet name="V22_Transaction$ails45" sheetId="119" r:id="rId97"/>
  </sheets>
  <calcPr calcId="191029"/>
</workbook>
</file>

<file path=xl/calcChain.xml><?xml version="1.0" encoding="utf-8"?>
<calcChain xmlns="http://schemas.openxmlformats.org/spreadsheetml/2006/main">
  <c r="J2" i="43" l="1"/>
  <c r="J157" i="43" s="1"/>
  <c r="J3" i="43"/>
  <c r="J4" i="43"/>
  <c r="J5" i="43"/>
  <c r="J6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8" i="43"/>
  <c r="J49" i="43"/>
  <c r="J50" i="43"/>
  <c r="J51" i="43"/>
  <c r="J52" i="43"/>
  <c r="J53" i="43"/>
  <c r="J54" i="43"/>
  <c r="J55" i="43"/>
  <c r="J56" i="43"/>
  <c r="J57" i="43"/>
  <c r="J58" i="43"/>
  <c r="J59" i="43"/>
  <c r="J60" i="43"/>
  <c r="J61" i="43"/>
  <c r="J62" i="43"/>
  <c r="J63" i="43"/>
  <c r="J64" i="43"/>
  <c r="J65" i="43"/>
  <c r="J66" i="43"/>
  <c r="J67" i="43"/>
  <c r="J68" i="43"/>
  <c r="J69" i="43"/>
  <c r="J70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5" i="43"/>
  <c r="J86" i="43"/>
  <c r="J87" i="43"/>
  <c r="J88" i="43"/>
  <c r="J89" i="43"/>
  <c r="J90" i="43"/>
  <c r="J91" i="43"/>
  <c r="J92" i="43"/>
  <c r="J93" i="43"/>
  <c r="J94" i="43"/>
  <c r="J95" i="43"/>
  <c r="J96" i="43"/>
  <c r="J97" i="43"/>
  <c r="J98" i="43"/>
  <c r="J99" i="43"/>
  <c r="J100" i="43"/>
  <c r="J101" i="43"/>
  <c r="J102" i="43"/>
  <c r="J103" i="43"/>
  <c r="J104" i="43"/>
  <c r="J105" i="43"/>
  <c r="J106" i="43"/>
  <c r="J107" i="43"/>
  <c r="J108" i="43"/>
  <c r="J109" i="43"/>
  <c r="J110" i="43"/>
  <c r="J111" i="43"/>
  <c r="J112" i="43"/>
  <c r="J113" i="43"/>
  <c r="J114" i="43"/>
  <c r="J115" i="43"/>
  <c r="J116" i="43"/>
  <c r="J117" i="43"/>
  <c r="J118" i="43"/>
  <c r="J119" i="43"/>
  <c r="J120" i="43"/>
  <c r="J121" i="43"/>
  <c r="J122" i="43"/>
  <c r="J123" i="43"/>
  <c r="J124" i="43"/>
  <c r="J125" i="43"/>
  <c r="J126" i="43"/>
  <c r="J127" i="43"/>
  <c r="J128" i="43"/>
  <c r="J129" i="43"/>
  <c r="J130" i="43"/>
  <c r="J131" i="43"/>
  <c r="J132" i="43"/>
  <c r="J133" i="43"/>
  <c r="J134" i="43"/>
  <c r="J135" i="43"/>
  <c r="J136" i="43"/>
  <c r="J137" i="43"/>
  <c r="J138" i="43"/>
  <c r="J139" i="43"/>
  <c r="J140" i="43"/>
  <c r="J141" i="43"/>
  <c r="J142" i="43"/>
  <c r="J143" i="43"/>
  <c r="J144" i="43"/>
  <c r="J145" i="43"/>
  <c r="J146" i="43"/>
  <c r="J147" i="43"/>
  <c r="J148" i="43"/>
  <c r="J149" i="43"/>
  <c r="J150" i="43"/>
  <c r="J151" i="43"/>
  <c r="J152" i="43"/>
  <c r="J153" i="43"/>
  <c r="J154" i="43"/>
  <c r="J155" i="43"/>
  <c r="K155" i="43" l="1"/>
  <c r="K154" i="43"/>
  <c r="K153" i="43"/>
  <c r="K152" i="43"/>
  <c r="K151" i="43"/>
  <c r="K150" i="43"/>
  <c r="K149" i="43"/>
  <c r="K148" i="43"/>
  <c r="K147" i="43"/>
  <c r="K146" i="43"/>
  <c r="K145" i="43"/>
  <c r="K144" i="43"/>
  <c r="K143" i="43"/>
  <c r="K142" i="43"/>
  <c r="K141" i="43"/>
  <c r="K140" i="43"/>
  <c r="K139" i="43"/>
  <c r="K138" i="43"/>
  <c r="K137" i="43"/>
  <c r="K136" i="43"/>
  <c r="K135" i="43"/>
  <c r="K134" i="43"/>
  <c r="K133" i="43"/>
  <c r="K132" i="43"/>
  <c r="K131" i="43"/>
  <c r="K130" i="43"/>
  <c r="K129" i="43"/>
  <c r="K128" i="43"/>
  <c r="K127" i="43"/>
  <c r="K126" i="43"/>
  <c r="K125" i="43"/>
  <c r="K124" i="43"/>
  <c r="K123" i="43"/>
  <c r="K122" i="43"/>
  <c r="K121" i="43"/>
  <c r="K120" i="43"/>
  <c r="K119" i="43"/>
  <c r="K118" i="43"/>
  <c r="K117" i="43"/>
  <c r="K116" i="43"/>
  <c r="K115" i="43"/>
  <c r="K114" i="43"/>
  <c r="K113" i="43"/>
  <c r="K112" i="43"/>
  <c r="K111" i="43"/>
  <c r="K110" i="43"/>
  <c r="K109" i="43"/>
  <c r="K108" i="43"/>
  <c r="K107" i="43"/>
  <c r="K106" i="43"/>
  <c r="K105" i="43"/>
  <c r="K104" i="43"/>
  <c r="K103" i="43"/>
  <c r="K102" i="43"/>
  <c r="K101" i="43"/>
  <c r="K100" i="43"/>
  <c r="K99" i="43"/>
  <c r="K98" i="43"/>
  <c r="K97" i="43"/>
  <c r="K96" i="43"/>
  <c r="K95" i="43"/>
  <c r="K94" i="43"/>
  <c r="K93" i="43"/>
  <c r="K92" i="43"/>
  <c r="K91" i="43"/>
  <c r="K90" i="43"/>
  <c r="K89" i="43"/>
  <c r="K88" i="43"/>
  <c r="K87" i="43"/>
  <c r="K86" i="43"/>
  <c r="K85" i="43"/>
  <c r="K84" i="43"/>
  <c r="K83" i="43"/>
  <c r="K82" i="43"/>
  <c r="K81" i="43"/>
  <c r="K80" i="43"/>
  <c r="K79" i="43"/>
  <c r="K78" i="43"/>
  <c r="K77" i="43"/>
  <c r="K76" i="43"/>
  <c r="K75" i="43"/>
  <c r="K74" i="43"/>
  <c r="K73" i="43"/>
  <c r="K72" i="43"/>
  <c r="K71" i="43"/>
  <c r="K70" i="43"/>
  <c r="K69" i="43"/>
  <c r="K68" i="43"/>
  <c r="K67" i="43"/>
  <c r="K66" i="43"/>
  <c r="K65" i="43"/>
  <c r="K64" i="43"/>
  <c r="K63" i="43"/>
  <c r="K62" i="43"/>
  <c r="K61" i="43"/>
  <c r="K60" i="43"/>
  <c r="K59" i="43"/>
  <c r="K58" i="43"/>
  <c r="K57" i="43"/>
  <c r="K56" i="43"/>
  <c r="K55" i="43"/>
  <c r="K54" i="43"/>
  <c r="K53" i="43"/>
  <c r="K52" i="43"/>
  <c r="K51" i="43"/>
  <c r="K50" i="43"/>
  <c r="K49" i="43"/>
  <c r="K48" i="43"/>
  <c r="K47" i="43"/>
  <c r="K46" i="43"/>
  <c r="K45" i="43"/>
  <c r="K44" i="43"/>
  <c r="K43" i="43"/>
  <c r="K42" i="43"/>
  <c r="K41" i="43"/>
  <c r="K40" i="43"/>
  <c r="K39" i="43"/>
  <c r="K38" i="43"/>
  <c r="K37" i="43"/>
  <c r="K36" i="43"/>
  <c r="K35" i="43"/>
  <c r="K34" i="43"/>
  <c r="K33" i="43"/>
  <c r="K32" i="43"/>
  <c r="K31" i="43"/>
  <c r="K30" i="43"/>
  <c r="K29" i="43"/>
  <c r="K28" i="43"/>
  <c r="K27" i="43"/>
  <c r="K26" i="43"/>
  <c r="K25" i="43"/>
  <c r="K24" i="43"/>
  <c r="K23" i="43"/>
  <c r="K22" i="43"/>
  <c r="K21" i="43"/>
  <c r="K20" i="43"/>
  <c r="K19" i="43"/>
  <c r="K18" i="43"/>
  <c r="K17" i="43"/>
  <c r="K16" i="43"/>
  <c r="K15" i="43"/>
  <c r="K14" i="43"/>
  <c r="K13" i="43"/>
  <c r="K12" i="43"/>
  <c r="K11" i="43"/>
  <c r="K10" i="43"/>
  <c r="K9" i="43"/>
  <c r="K8" i="43"/>
  <c r="K7" i="43"/>
  <c r="K6" i="43"/>
  <c r="K5" i="43"/>
  <c r="K4" i="43"/>
  <c r="K3" i="43"/>
  <c r="K2" i="43"/>
  <c r="K157" i="43" l="1"/>
</calcChain>
</file>

<file path=xl/sharedStrings.xml><?xml version="1.0" encoding="utf-8"?>
<sst xmlns="http://schemas.openxmlformats.org/spreadsheetml/2006/main" count="3695" uniqueCount="873">
  <si>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</si>
  <si>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</si>
  <si>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</si>
  <si>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</si>
  <si>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</si>
  <si>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</si>
  <si>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</si>
  <si>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</si>
  <si>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</si>
  <si>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</si>
  <si>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</si>
  <si>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</si>
  <si>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</si>
  <si>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</si>
  <si>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</si>
  <si>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</si>
  <si>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</si>
  <si>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AB2_Payments_BankDetails</t>
  </si>
  <si>
    <t>AB2_Payments_CashDetails</t>
  </si>
  <si>
    <t>AB2_Payments_ChargesDetails</t>
  </si>
  <si>
    <t>AB2_Payments_ChequeDetails</t>
  </si>
  <si>
    <t>AB2_Payments_PDCDetails</t>
  </si>
  <si>
    <t>AB2_Payments_PDCWithChequeDate</t>
  </si>
  <si>
    <t>AB2_Payments_TCSDetails</t>
  </si>
  <si>
    <t>AB2_Sales_PartyDiscountPercentage_Details</t>
  </si>
  <si>
    <t>AB2_Sales_Party$ails2</t>
  </si>
  <si>
    <t>AB2_Sales_VoucherDiscountDetails</t>
  </si>
  <si>
    <t>AB2_Sales_Vouch$ails3</t>
  </si>
  <si>
    <t>AB2_SalesReturns_ChargesAndDeductions</t>
  </si>
  <si>
    <t>AB2_SalesReturn$ions4</t>
  </si>
  <si>
    <t>AB2_SalesReturns_TaxableOtherCharges</t>
  </si>
  <si>
    <t>AB2_SalesReturn$rges5</t>
  </si>
  <si>
    <t>AB2_SalesReturnsDiscountDetails</t>
  </si>
  <si>
    <t>AB2_SalesReturnsFreeItemsDetails</t>
  </si>
  <si>
    <t>AB2_SalesReturn$ails6</t>
  </si>
  <si>
    <t>AB2_SalesReturnsWithInvoiceReference_ItemDetails</t>
  </si>
  <si>
    <t>AB2_SalesReturn$ails7</t>
  </si>
  <si>
    <t>AC_SalesReturnsWithInvoiceReference_Summary</t>
  </si>
  <si>
    <t>AC_SalesReturns$mary8</t>
  </si>
  <si>
    <t>AccountLedger</t>
  </si>
  <si>
    <t>AccountLedger_Helper</t>
  </si>
  <si>
    <t>BRS_Transaction_IssuedAmountDetails</t>
  </si>
  <si>
    <t>BRS_Transaction$ails9</t>
  </si>
  <si>
    <t>FreeStockReceivedDetails</t>
  </si>
  <si>
    <t>GST_Outward_EInvoice_Details</t>
  </si>
  <si>
    <t>GST_Outward_EInvoice_Summary</t>
  </si>
  <si>
    <t>GST_OutwardDetailsForMonthEnd</t>
  </si>
  <si>
    <t>GST_OutwardInfoForMonthEnd_Summary_Ver1</t>
  </si>
  <si>
    <t>GST_OutwardInfo$Ver110</t>
  </si>
  <si>
    <t>GST_Party_BillingAddress_Table</t>
  </si>
  <si>
    <t>GST_Party_ShippingAddress_Table</t>
  </si>
  <si>
    <t>GST_Product_HSNCode</t>
  </si>
  <si>
    <t>GST_Purchase_GSTCESS</t>
  </si>
  <si>
    <t>GST_Purchase_HeaderDetails</t>
  </si>
  <si>
    <t>GST_Purchases_CESSDetails</t>
  </si>
  <si>
    <t>GST_Purchases_CGSTDetails</t>
  </si>
  <si>
    <t>GST_Purchases_GSTDetails</t>
  </si>
  <si>
    <t>GST_Purchases_IGSTDetails</t>
  </si>
  <si>
    <t>GST_Purchases_SGSTDetails</t>
  </si>
  <si>
    <t>GST_Transaction_GSTTransactionType</t>
  </si>
  <si>
    <t>GST_Transaction$Type11</t>
  </si>
  <si>
    <t>GST_Transaction_UQCandGSTPercentage_Details</t>
  </si>
  <si>
    <t>GST_Transaction$ails12</t>
  </si>
  <si>
    <t>ItemSerialNoStockLedger_Table</t>
  </si>
  <si>
    <t>ItemStockLedger</t>
  </si>
  <si>
    <t>ItemStockLedger_Helper</t>
  </si>
  <si>
    <t>ItemStockValuation</t>
  </si>
  <si>
    <t>PendingItemsTable_GST_EInvoice_Online_ToBeProcessed</t>
  </si>
  <si>
    <t>PendingItemsTab$ssed13</t>
  </si>
  <si>
    <t>PendingItemsTable_V19_TCS_TaxPaid_V1</t>
  </si>
  <si>
    <t>PendingItemsTab$d_V114</t>
  </si>
  <si>
    <t>Shared_Collections_Cash_Table</t>
  </si>
  <si>
    <t>Shared_Collections_Cheques_Table</t>
  </si>
  <si>
    <t>Shared_Collecti$able15</t>
  </si>
  <si>
    <t>Shared_Collections_PDC_Table</t>
  </si>
  <si>
    <t>Shared_Collections_PostDatedCheques_Table</t>
  </si>
  <si>
    <t>Shared_Collecti$able16</t>
  </si>
  <si>
    <t>Shared_SalesInvoice_ChargesAndDeductions_Table</t>
  </si>
  <si>
    <t>Shared_SalesInv$able17</t>
  </si>
  <si>
    <t>Shared_SalesInvoice_Items_Table</t>
  </si>
  <si>
    <t>Shared_SalesInvoice_OtherCharges_Table</t>
  </si>
  <si>
    <t>Shared_SalesInv$able18</t>
  </si>
  <si>
    <t>Shared_SalesInvoice_Overview_Table</t>
  </si>
  <si>
    <t>Shared_SalesInv$able19</t>
  </si>
  <si>
    <t>Transaction_Body_AdditionalBools_Table</t>
  </si>
  <si>
    <t>Transaction_Bod$able20</t>
  </si>
  <si>
    <t>Transaction_Body_AdditionalDates_Table</t>
  </si>
  <si>
    <t>Transaction_Bod$able21</t>
  </si>
  <si>
    <t>Transaction_Body_AdditionalInfo1_Table</t>
  </si>
  <si>
    <t>Transaction_Bod$able22</t>
  </si>
  <si>
    <t>Transaction_Body_AdditionalInfo2_Table</t>
  </si>
  <si>
    <t>Transaction_Bod$able23</t>
  </si>
  <si>
    <t>Transaction_Body_AdditionalInfo3_Table</t>
  </si>
  <si>
    <t>Transaction_Bod$able24</t>
  </si>
  <si>
    <t>Transaction_Body_AdditionalInfo4_Table</t>
  </si>
  <si>
    <t>Transaction_Bod$able25</t>
  </si>
  <si>
    <t>Transaction_Body_AdditionalInfo5_Table</t>
  </si>
  <si>
    <t>Transaction_Bod$able26</t>
  </si>
  <si>
    <t>Transaction_Body_AdditionalValues_Table</t>
  </si>
  <si>
    <t>Transaction_Bod$able27</t>
  </si>
  <si>
    <t>Transaction_CostCentre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</si>
  <si>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</si>
  <si>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</si>
  <si>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</si>
  <si>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</si>
  <si>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</si>
  <si>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</si>
  <si>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Transaction_Hea$able28</t>
  </si>
  <si>
    <t>Transaction_Header_AdditionalDates_Table</t>
  </si>
  <si>
    <t>Transaction_Hea$able29</t>
  </si>
  <si>
    <t>Transaction_Header_AdditionalInfo1_Table</t>
  </si>
  <si>
    <t>Transaction_Hea$able30</t>
  </si>
  <si>
    <t>Transaction_Header_AdditionalInfo2_Table</t>
  </si>
  <si>
    <t>Transaction_Hea$able31</t>
  </si>
  <si>
    <t>Transaction_Header_AdditionalInfo3_Table</t>
  </si>
  <si>
    <t>Transaction_Hea$able32</t>
  </si>
  <si>
    <t>Transaction_Header_AdditionalInfo4_Table</t>
  </si>
  <si>
    <t>Transaction_Hea$able33</t>
  </si>
  <si>
    <t>Transaction_Header_AdditionalInfo5_Table</t>
  </si>
  <si>
    <t>Transaction_Hea$able34</t>
  </si>
  <si>
    <t>Transaction_Header_AdditionalValues_Table</t>
  </si>
  <si>
    <t>Transaction_Hea$able35</t>
  </si>
  <si>
    <t>Transaction_Header_Executive_Table</t>
  </si>
  <si>
    <t>Transaction_Hea$able36</t>
  </si>
  <si>
    <t>Transaction_Header_PartyAccount</t>
  </si>
  <si>
    <t>Transaction_LineComments_Table</t>
  </si>
  <si>
    <t>Transaction_Location_Table</t>
  </si>
  <si>
    <t>Transaction_LRDetails</t>
  </si>
  <si>
    <t>Transaction_OtherInfo_Table</t>
  </si>
  <si>
    <t>Transaction_ProfitCentre</t>
  </si>
  <si>
    <t>Transaction_Project</t>
  </si>
  <si>
    <t>Transaction_ReferenceBillDetails</t>
  </si>
  <si>
    <t>Transaction_Ref$ails37</t>
  </si>
  <si>
    <t>Transaction_Remarks</t>
  </si>
  <si>
    <t>Transaction_Segments_HelperTable</t>
  </si>
  <si>
    <t>Transaction_Seg$able38</t>
  </si>
  <si>
    <t>Transaction_TermsAndConditions</t>
  </si>
  <si>
    <t>Transaction_VoucherType_Table</t>
  </si>
  <si>
    <t>V19_CreditNoteOnCustomer_Header_Details</t>
  </si>
  <si>
    <t>V19_CreditNoteO$ails39</t>
  </si>
  <si>
    <t>V19_Transaction_Header_PriceList</t>
  </si>
  <si>
    <t>V19_Transaction$List40</t>
  </si>
  <si>
    <t>V19_Transaction_RoundOffDetails_Ver1</t>
  </si>
  <si>
    <t>V19_Transaction$Ver141</t>
  </si>
  <si>
    <t>V19_Transaction_TaxStructure</t>
  </si>
  <si>
    <t>V19_Transaction_TaxTransactionType</t>
  </si>
  <si>
    <t>V19_Transaction$Type42</t>
  </si>
  <si>
    <t>V22_InvoiceValueAndInvoiceDate_Details</t>
  </si>
  <si>
    <t>V22_InvoiceValu$ails43</t>
  </si>
  <si>
    <t>V22_Trans_Header_TransactionType</t>
  </si>
  <si>
    <t>V22_Trans_Heade$Type44</t>
  </si>
  <si>
    <t>V22_Transaction_Header_GSTDetails</t>
  </si>
  <si>
    <t>V22_Transaction$ails45</t>
  </si>
  <si>
    <t>VoucherType</t>
  </si>
  <si>
    <t>Date</t>
  </si>
  <si>
    <t>Branch</t>
  </si>
  <si>
    <t>Location</t>
  </si>
  <si>
    <t>EntryUser</t>
  </si>
  <si>
    <t>TransactionCurrency</t>
  </si>
  <si>
    <t>BranchFolio</t>
  </si>
  <si>
    <t>RegistrationType</t>
  </si>
  <si>
    <t>StateCode</t>
  </si>
  <si>
    <t>State</t>
  </si>
  <si>
    <t>ExchangeRate</t>
  </si>
  <si>
    <t>SalesInvoiceNo</t>
  </si>
  <si>
    <t>PartyAccount</t>
  </si>
  <si>
    <t>AssesseeType</t>
  </si>
  <si>
    <t>PlaceOfSupply</t>
  </si>
  <si>
    <t>GSTTransactionType</t>
  </si>
  <si>
    <t>TransactionType</t>
  </si>
  <si>
    <t>DocumentType</t>
  </si>
  <si>
    <t>TaxTransactionType</t>
  </si>
  <si>
    <t>ApplyTCS</t>
  </si>
  <si>
    <t>TCSTransactionNature</t>
  </si>
  <si>
    <t>PriceList</t>
  </si>
  <si>
    <t>VoucherDiscountPercentage</t>
  </si>
  <si>
    <t>Executive</t>
  </si>
  <si>
    <t>Division</t>
  </si>
  <si>
    <t>IgnoreValuation</t>
  </si>
  <si>
    <t>Remarks</t>
  </si>
  <si>
    <t/>
  </si>
  <si>
    <t>AT_SRTWIF</t>
  </si>
  <si>
    <t>Default Pending Process Type</t>
  </si>
  <si>
    <t>AT_Branch 1_Reg</t>
  </si>
  <si>
    <t>AT_Branch 1_Location 1</t>
  </si>
  <si>
    <t>Super User</t>
  </si>
  <si>
    <t>1</t>
  </si>
  <si>
    <t>INR</t>
  </si>
  <si>
    <t>AT_Branch 1_Reg INR Default Folio Type</t>
  </si>
  <si>
    <t xml:space="preserve">36              </t>
  </si>
  <si>
    <t>Telangana</t>
  </si>
  <si>
    <t>0</t>
  </si>
  <si>
    <t>SI1 1</t>
  </si>
  <si>
    <t>At_Cus_Reg_Intra</t>
  </si>
  <si>
    <t>Intra State</t>
  </si>
  <si>
    <t>Intra State Sales Returns from Registered Dealers</t>
  </si>
  <si>
    <t>AT_Sales Return  Acc 1</t>
  </si>
  <si>
    <t>Tax Collected</t>
  </si>
  <si>
    <t>AT_TCS Transaction Nature 1</t>
  </si>
  <si>
    <t>AT_Exclusive Sales Price List 1</t>
  </si>
  <si>
    <t>AT_Executive 2</t>
  </si>
  <si>
    <t>24D Books Fin AT</t>
  </si>
  <si>
    <t>PVREM1</t>
  </si>
  <si>
    <t>ProductCode</t>
  </si>
  <si>
    <t>Product</t>
  </si>
  <si>
    <t>HSNCode</t>
  </si>
  <si>
    <t>GoodsOrServices</t>
  </si>
  <si>
    <t>ProductBatch</t>
  </si>
  <si>
    <t>SerialNo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</si>
  <si>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</si>
  <si>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</si>
  <si>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</si>
  <si>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</si>
  <si>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</si>
  <si>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</si>
  <si>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</si>
  <si>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FreeUOM</t>
  </si>
  <si>
    <t>MRP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</si>
  <si>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</si>
  <si>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</si>
  <si>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</si>
  <si>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</si>
  <si>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</si>
  <si>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</si>
  <si>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</si>
  <si>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</si>
  <si>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</si>
  <si>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</si>
  <si>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</si>
  <si>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</si>
  <si>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</si>
  <si>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</si>
  <si>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</si>
  <si>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</si>
  <si>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</si>
  <si>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ExclusiveUnitRate</t>
  </si>
  <si>
    <t>ExclusiveGrossAmount</t>
  </si>
  <si>
    <t>ExclusiveDiscount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</si>
  <si>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</si>
  <si>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</si>
  <si>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</si>
  <si>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</si>
  <si>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</si>
  <si>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</si>
  <si>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</si>
  <si>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CGSTRate</t>
  </si>
  <si>
    <t>SGSTRate</t>
  </si>
  <si>
    <t>IGSTRate</t>
  </si>
  <si>
    <t>CESSRate</t>
  </si>
  <si>
    <t>TaxAdjustment</t>
  </si>
  <si>
    <t>SalesValue</t>
  </si>
  <si>
    <t>NetAmount</t>
  </si>
  <si>
    <t>TCSTaxableValue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</si>
  <si>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</si>
  <si>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</si>
  <si>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</si>
  <si>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</si>
  <si>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</si>
  <si>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</si>
  <si>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</si>
  <si>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</si>
  <si>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</si>
  <si>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</si>
  <si>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</si>
  <si>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</si>
  <si>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</si>
  <si>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</si>
  <si>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</si>
  <si>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</si>
  <si>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</si>
  <si>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</si>
  <si>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</si>
  <si>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</si>
  <si>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</si>
  <si>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</si>
  <si>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</si>
  <si>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</si>
  <si>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</si>
  <si>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</si>
  <si>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AT_Sales Return  Acc 2</t>
  </si>
  <si>
    <t>Nos</t>
  </si>
  <si>
    <t>AT_Branch 1_Location 1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</si>
  <si>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</si>
  <si>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</si>
  <si>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</si>
  <si>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</si>
  <si>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</si>
  <si>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</si>
  <si>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</si>
  <si>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</si>
  <si>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PVICMNTS1</t>
  </si>
  <si>
    <t>INF1</t>
  </si>
  <si>
    <t>INF7</t>
  </si>
  <si>
    <t>INF13</t>
  </si>
  <si>
    <t>INF19</t>
  </si>
  <si>
    <t>INF25</t>
  </si>
  <si>
    <t>P2</t>
  </si>
  <si>
    <t>AT_Product 2</t>
  </si>
  <si>
    <t>AT_Sales Return  Acc 3</t>
  </si>
  <si>
    <t>% on Gross-Disc1</t>
  </si>
  <si>
    <t>AT_Department 2</t>
  </si>
  <si>
    <t>AT_Project 2</t>
  </si>
  <si>
    <t>AT_Profit Center 2</t>
  </si>
  <si>
    <t>AT_Cost Center 2</t>
  </si>
  <si>
    <t>PVICMNTS2</t>
  </si>
  <si>
    <t>INF2</t>
  </si>
  <si>
    <t>INF8</t>
  </si>
  <si>
    <t>INF14</t>
  </si>
  <si>
    <t>INF20</t>
  </si>
  <si>
    <t>INF26</t>
  </si>
  <si>
    <t>1254</t>
  </si>
  <si>
    <t>AT_Product 5</t>
  </si>
  <si>
    <t xml:space="preserve">7777            </t>
  </si>
  <si>
    <t>AT_Sales Return  Acc 4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</si>
  <si>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</si>
  <si>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</si>
  <si>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</si>
  <si>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</si>
  <si>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</si>
  <si>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</si>
  <si>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</si>
  <si>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</si>
  <si>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</si>
  <si>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PVICMNTS3</t>
  </si>
  <si>
    <t>INF3</t>
  </si>
  <si>
    <t>INF9</t>
  </si>
  <si>
    <t>INF15</t>
  </si>
  <si>
    <t>INF21</t>
  </si>
  <si>
    <t>INF27</t>
  </si>
  <si>
    <t>PSN3</t>
  </si>
  <si>
    <t>AT_Product With SN 3</t>
  </si>
  <si>
    <t>AT_Product With SN 3,202541</t>
  </si>
  <si>
    <t>AT_Sales Return  Acc 5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</si>
  <si>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</si>
  <si>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</si>
  <si>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</si>
  <si>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</si>
  <si>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</si>
  <si>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</si>
  <si>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PVICMNTS4</t>
  </si>
  <si>
    <t>INF4</t>
  </si>
  <si>
    <t>INF10</t>
  </si>
  <si>
    <t>INF16</t>
  </si>
  <si>
    <t>INF22</t>
  </si>
  <si>
    <t>INF28</t>
  </si>
  <si>
    <t>PVICMNTS5</t>
  </si>
  <si>
    <t>INF5</t>
  </si>
  <si>
    <t>INF11</t>
  </si>
  <si>
    <t>INF17</t>
  </si>
  <si>
    <t>INF23</t>
  </si>
  <si>
    <t>INF29</t>
  </si>
  <si>
    <t>MBP4</t>
  </si>
  <si>
    <t>AT_Multi batch product 4</t>
  </si>
  <si>
    <t>AT_Multi batch product 4,202541</t>
  </si>
  <si>
    <t>Value</t>
  </si>
  <si>
    <t>% on Gross-Disc2</t>
  </si>
  <si>
    <t>AT_Department 5</t>
  </si>
  <si>
    <t>AT_Project 5</t>
  </si>
  <si>
    <t>AT_Profit Center 5</t>
  </si>
  <si>
    <t>AT_Cost Center 5</t>
  </si>
  <si>
    <t>PVICMNTS6</t>
  </si>
  <si>
    <t>INF6</t>
  </si>
  <si>
    <t>INF12</t>
  </si>
  <si>
    <t>INF18</t>
  </si>
  <si>
    <t>INF24</t>
  </si>
  <si>
    <t>INF30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</si>
  <si>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</si>
  <si>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</si>
  <si>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</si>
  <si>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</si>
  <si>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</si>
  <si>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</si>
  <si>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</si>
  <si>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</si>
  <si>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</si>
  <si>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</si>
  <si>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</si>
  <si>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</si>
  <si>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</si>
  <si>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</si>
  <si>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</si>
  <si>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</si>
  <si>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</si>
  <si>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</si>
  <si>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</si>
  <si>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</si>
  <si>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</si>
  <si>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</si>
  <si>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</si>
  <si>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</si>
  <si>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</si>
  <si>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</si>
  <si>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</si>
  <si>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</si>
  <si>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</si>
  <si>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</si>
  <si>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</si>
  <si>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</si>
  <si>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</si>
  <si>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</si>
  <si>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</si>
  <si>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</si>
  <si>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</si>
  <si>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</si>
  <si>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</si>
  <si>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</si>
  <si>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</si>
  <si>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</si>
  <si>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</si>
  <si>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</si>
  <si>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</si>
  <si>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InclusiveAmount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</si>
  <si>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</si>
  <si>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</si>
  <si>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</si>
  <si>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</si>
  <si>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</si>
  <si>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</si>
  <si>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</si>
  <si>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</si>
  <si>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</si>
  <si>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</si>
  <si>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</si>
  <si>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</si>
  <si>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</si>
  <si>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</si>
  <si>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</si>
  <si>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</si>
  <si>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</si>
  <si>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</si>
  <si>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</si>
  <si>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</si>
  <si>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</si>
  <si>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</si>
  <si>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</si>
  <si>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</si>
  <si>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</si>
  <si>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</si>
  <si>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</si>
  <si>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</si>
  <si>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</si>
  <si>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</si>
  <si>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</si>
  <si>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</si>
  <si>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</si>
  <si>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</si>
  <si>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</si>
  <si>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</si>
  <si>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</si>
  <si>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</si>
  <si>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</si>
  <si>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</si>
  <si>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</si>
  <si>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</si>
  <si>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</si>
  <si>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</si>
  <si>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</si>
  <si>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</si>
  <si>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</si>
  <si>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</si>
  <si>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</si>
  <si>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</si>
  <si>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</si>
  <si>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</si>
  <si>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</si>
  <si>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</si>
  <si>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</si>
  <si>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</si>
  <si>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</si>
  <si>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</si>
  <si>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</si>
  <si>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</si>
  <si>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</si>
  <si>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</si>
  <si>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</si>
  <si>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</si>
  <si>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</si>
  <si>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</si>
  <si>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TCSRate</t>
  </si>
  <si>
    <t>TCSAmount</t>
  </si>
  <si>
    <t>TCSAccount</t>
  </si>
  <si>
    <t>AT_TCS Sub type 1</t>
  </si>
  <si>
    <t>AT_TCS Collected Acc 1</t>
  </si>
  <si>
    <t>VoucherIdentityNo</t>
  </si>
  <si>
    <t>DueDate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</si>
  <si>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</si>
  <si>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</si>
  <si>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</si>
  <si>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</si>
  <si>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</si>
  <si>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</si>
  <si>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</si>
  <si>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</si>
  <si>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</si>
  <si>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</si>
  <si>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</si>
  <si>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</si>
  <si>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</si>
  <si>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</si>
  <si>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</si>
  <si>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</si>
  <si>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</si>
  <si>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</si>
  <si>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</si>
  <si>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</si>
  <si>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</si>
  <si>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</si>
  <si>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</si>
  <si>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</si>
  <si>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</si>
  <si>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</si>
  <si>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</si>
  <si>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</si>
  <si>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</si>
  <si>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</si>
  <si>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</si>
  <si>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</si>
  <si>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BRSId</t>
  </si>
  <si>
    <t>BankAccountCode</t>
  </si>
  <si>
    <t>BankAccount</t>
  </si>
  <si>
    <t>ChequeNo</t>
  </si>
  <si>
    <t>ChequeDate</t>
  </si>
  <si>
    <t>DrawnOnBank</t>
  </si>
  <si>
    <t>DrawnOnBankBranch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</si>
  <si>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</si>
  <si>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</si>
  <si>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</si>
  <si>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</si>
  <si>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</si>
  <si>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</si>
  <si>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</si>
  <si>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</si>
  <si>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</si>
  <si>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</si>
  <si>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</si>
  <si>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</si>
  <si>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</si>
  <si>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</si>
  <si>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</si>
  <si>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</si>
  <si>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</si>
  <si>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</si>
  <si>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</si>
  <si>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</si>
  <si>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</si>
  <si>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</si>
  <si>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</si>
  <si>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</si>
  <si>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</si>
  <si>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</si>
  <si>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</si>
  <si>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</si>
  <si>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</si>
  <si>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</si>
  <si>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</si>
  <si>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</si>
  <si>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</si>
  <si>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</si>
  <si>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</si>
  <si>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</si>
  <si>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</si>
  <si>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</si>
  <si>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</si>
  <si>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</si>
  <si>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</si>
  <si>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</si>
  <si>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</si>
  <si>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</si>
  <si>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PDC Account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</si>
  <si>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</si>
  <si>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</si>
  <si>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</si>
  <si>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</si>
  <si>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</si>
  <si>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</si>
  <si>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</si>
  <si>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</si>
  <si>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</si>
  <si>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</si>
  <si>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</si>
  <si>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</si>
  <si>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</si>
  <si>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</si>
  <si>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</si>
  <si>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</si>
  <si>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</si>
  <si>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</si>
  <si>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</si>
  <si>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</si>
  <si>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</si>
  <si>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</si>
  <si>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</si>
  <si>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</si>
  <si>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</si>
  <si>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</si>
  <si>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</si>
  <si>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</si>
  <si>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</si>
  <si>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</si>
  <si>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</si>
  <si>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</si>
  <si>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</si>
  <si>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</si>
  <si>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</si>
  <si>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</si>
  <si>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</si>
  <si>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</si>
  <si>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</si>
  <si>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</si>
  <si>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</si>
  <si>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</si>
  <si>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</si>
  <si>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</si>
  <si>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</si>
  <si>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</si>
  <si>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</si>
  <si>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</si>
  <si>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</si>
  <si>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</si>
  <si>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</si>
  <si>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</si>
  <si>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</si>
  <si>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</si>
  <si>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</si>
  <si>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</si>
  <si>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</si>
  <si>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</si>
  <si>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</si>
  <si>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</si>
  <si>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</si>
  <si>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</si>
  <si>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</si>
  <si>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</si>
  <si>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</si>
  <si>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</si>
  <si>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</si>
  <si>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</si>
  <si>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</si>
  <si>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</si>
  <si>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</si>
  <si>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</si>
  <si>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</si>
  <si>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GSTEInvoiceRequired</t>
  </si>
  <si>
    <t>GenerateNow</t>
  </si>
  <si>
    <t>InvoiceValue</t>
  </si>
  <si>
    <t>InvoiceDate</t>
  </si>
  <si>
    <t>InvoiceVin</t>
  </si>
  <si>
    <t>ReferenceBillNo</t>
  </si>
  <si>
    <t>ReferenceBillDate</t>
  </si>
  <si>
    <t>LRNo</t>
  </si>
  <si>
    <t>LRDate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</si>
  <si>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</si>
  <si>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</si>
  <si>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</si>
  <si>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</si>
  <si>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</si>
  <si>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</si>
  <si>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</si>
  <si>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</si>
  <si>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</si>
  <si>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</si>
  <si>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</si>
  <si>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</si>
  <si>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</si>
  <si>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</si>
  <si>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</si>
  <si>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</si>
  <si>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FreeQuantityInSKU</t>
  </si>
  <si>
    <t>Discount</t>
  </si>
  <si>
    <t>NetAmountAfterCharges</t>
  </si>
  <si>
    <t>OtherChargesCGST</t>
  </si>
  <si>
    <t>OtherChargesSGST</t>
  </si>
  <si>
    <t>OtherChargesIGST</t>
  </si>
  <si>
    <t>OtherChargesCESS</t>
  </si>
  <si>
    <t>EditTCSTaxableValue</t>
  </si>
  <si>
    <t>RoundOffType</t>
  </si>
  <si>
    <t>RoundOffAccount</t>
  </si>
  <si>
    <t>RoundOffAmount</t>
  </si>
  <si>
    <t>TotalValue</t>
  </si>
  <si>
    <t>PayableAmount</t>
  </si>
  <si>
    <t>GSTAssessableValue1</t>
  </si>
  <si>
    <t>GSTAssessableValue2</t>
  </si>
  <si>
    <t>Round Off Account</t>
  </si>
  <si>
    <t>GSTIN</t>
  </si>
  <si>
    <t>Address1</t>
  </si>
  <si>
    <t>Address2</t>
  </si>
  <si>
    <t>Address3</t>
  </si>
  <si>
    <t>City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</si>
  <si>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</si>
  <si>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</si>
  <si>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</si>
  <si>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</si>
  <si>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</si>
  <si>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</si>
  <si>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</si>
  <si>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</si>
  <si>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</si>
  <si>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</si>
  <si>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AddressName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</si>
  <si>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</si>
  <si>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</si>
  <si>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</si>
  <si>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</si>
  <si>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</si>
  <si>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</si>
  <si>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</si>
  <si>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</si>
  <si>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</si>
  <si>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</si>
  <si>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</si>
  <si>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</si>
  <si>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</si>
  <si>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</si>
  <si>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</si>
  <si>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</si>
  <si>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</si>
  <si>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</si>
  <si>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</si>
  <si>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</si>
  <si>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</si>
  <si>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</si>
  <si>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</si>
  <si>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</si>
  <si>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TCSAssessableValue</t>
  </si>
  <si>
    <t>CalculateByQty</t>
  </si>
  <si>
    <t>ChargesType</t>
  </si>
  <si>
    <t>ExclGrossMinusDiscount</t>
  </si>
  <si>
    <t>SalesReturnAccount</t>
  </si>
  <si>
    <t>TaxAdjRatio</t>
  </si>
  <si>
    <t>EDAmount</t>
  </si>
  <si>
    <t>STAmount</t>
  </si>
  <si>
    <t>TaxableOtherCharges</t>
  </si>
  <si>
    <t>TaxableOtherChargesCESS</t>
  </si>
  <si>
    <t>TaxableOtherChargesCGST</t>
  </si>
  <si>
    <t>TaxableOtherChargesIGST</t>
  </si>
  <si>
    <t>TaxableOtherChargesSGST</t>
  </si>
  <si>
    <t>TaxableOtherChargesTaxAmount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</si>
  <si>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</si>
  <si>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</si>
  <si>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</si>
  <si>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</si>
  <si>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</si>
  <si>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</si>
  <si>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</si>
  <si>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</si>
  <si>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</si>
  <si>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IssuedAmount</t>
  </si>
  <si>
    <t>StateCessAmount</t>
  </si>
  <si>
    <t>StateCessRate</t>
  </si>
  <si>
    <t>ItemsCESS</t>
  </si>
  <si>
    <t>ItemsCGST</t>
  </si>
  <si>
    <t>ItemsIGST</t>
  </si>
  <si>
    <t>ItemsSGST</t>
  </si>
  <si>
    <t>ItemsTaxableValue</t>
  </si>
  <si>
    <t>OtherChargesTaxableValue</t>
  </si>
  <si>
    <t>ApplicablePercentageOfTaxRate</t>
  </si>
  <si>
    <t>GSTCommodityCode</t>
  </si>
  <si>
    <t>Rate</t>
  </si>
  <si>
    <t>ApplyRCM</t>
  </si>
  <si>
    <t>ECommerceOperator</t>
  </si>
  <si>
    <t>ETIN</t>
  </si>
  <si>
    <t>InvoiceType</t>
  </si>
  <si>
    <t>PartyGSTRegType</t>
  </si>
  <si>
    <t>SupplyType</t>
  </si>
  <si>
    <t>URType</t>
  </si>
  <si>
    <t xml:space="preserve">                </t>
  </si>
  <si>
    <t>GSTCESSProductCategory</t>
  </si>
  <si>
    <t>DefferedCredit</t>
  </si>
  <si>
    <t>UnitQuantityCode</t>
  </si>
  <si>
    <t>QWERTY281</t>
  </si>
  <si>
    <t>QWERTY494</t>
  </si>
  <si>
    <t>Interbranch</t>
  </si>
  <si>
    <t>IssuesQuantity</t>
  </si>
  <si>
    <t>LandedCost</t>
  </si>
  <si>
    <t>ReceiptsQuantity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</si>
  <si>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</si>
  <si>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</si>
  <si>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</si>
  <si>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</si>
  <si>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</si>
  <si>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</si>
  <si>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IsBuyBackSales</t>
  </si>
  <si>
    <t>IsGiftApplicable</t>
  </si>
  <si>
    <t>TaxSubType</t>
  </si>
  <si>
    <t>TaxSubTypeNature</t>
  </si>
  <si>
    <t>PayableNetAmount</t>
  </si>
  <si>
    <t>TDSAccount</t>
  </si>
  <si>
    <t>TDSAmount</t>
  </si>
  <si>
    <t>TDSAmountInCompanyCurrency</t>
  </si>
  <si>
    <t>TDSTransactionNature</t>
  </si>
  <si>
    <t>BRSID</t>
  </si>
  <si>
    <t>DrawnOnBankAccount</t>
  </si>
  <si>
    <t>NetAmountAfterTDS</t>
  </si>
  <si>
    <t>PDCAccountCode</t>
  </si>
  <si>
    <t>ChargesOrDeductions</t>
  </si>
  <si>
    <t>ReceivableCharges</t>
  </si>
  <si>
    <t>ReceivableDeductions</t>
  </si>
  <si>
    <t>AdvanceSTAssessableValue</t>
  </si>
  <si>
    <t>CESSproductCategory</t>
  </si>
  <si>
    <t>DeliveryDate</t>
  </si>
  <si>
    <t>EDAmountForCosting</t>
  </si>
  <si>
    <t>EDAssessableValue</t>
  </si>
  <si>
    <t>EDCommodityCode</t>
  </si>
  <si>
    <t>EDProductCategory</t>
  </si>
  <si>
    <t>LastPurchasePrice</t>
  </si>
  <si>
    <t>MaximumRate</t>
  </si>
  <si>
    <t>MinimumRate</t>
  </si>
  <si>
    <t>NetAmountAfterVAT</t>
  </si>
  <si>
    <t>NetAssessableValue</t>
  </si>
  <si>
    <t>NoOfPacks</t>
  </si>
  <si>
    <t>SalesAccount</t>
  </si>
  <si>
    <t>Sellingrate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</si>
  <si>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</si>
  <si>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</si>
  <si>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</si>
  <si>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</si>
  <si>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</si>
  <si>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</si>
  <si>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</si>
  <si>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</si>
  <si>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CESSAmount</t>
  </si>
  <si>
    <t>CGSTAmount</t>
  </si>
  <si>
    <t>CreditPeriod</t>
  </si>
  <si>
    <t>Customer</t>
  </si>
  <si>
    <t>Distance</t>
  </si>
  <si>
    <t>Ecommerce</t>
  </si>
  <si>
    <t>ECommerceSale</t>
  </si>
  <si>
    <t>Email</t>
  </si>
  <si>
    <t>ExciseTransactionType</t>
  </si>
  <si>
    <t>GenerateEWayBill</t>
  </si>
  <si>
    <t>GenerateEWayBillThroughOnline</t>
  </si>
  <si>
    <t>GSTAssessableValue3</t>
  </si>
  <si>
    <t>IGSTAmount</t>
  </si>
  <si>
    <t>ItemsDisc1Amount</t>
  </si>
  <si>
    <t>ItemsDisc2Amount</t>
  </si>
  <si>
    <t>ItemsDisc3Amount</t>
  </si>
  <si>
    <t>ModeOfTransport</t>
  </si>
  <si>
    <t>OtherChargesEDAmount</t>
  </si>
  <si>
    <t>OtherChargesGSTAmount</t>
  </si>
  <si>
    <t>OtherChargesSTAmount</t>
  </si>
  <si>
    <t>OtherChargesTCSTaxableValue</t>
  </si>
  <si>
    <t>OtherChargesVATAmount</t>
  </si>
  <si>
    <t>PartyAccountCode</t>
  </si>
  <si>
    <t>PartyDescription</t>
  </si>
  <si>
    <t>PartyName</t>
  </si>
  <si>
    <t>PortCode</t>
  </si>
  <si>
    <t>POSCustomer</t>
  </si>
  <si>
    <t>SGSTAmount</t>
  </si>
  <si>
    <t>ShippingBillDate</t>
  </si>
  <si>
    <t>ShippingBillNo</t>
  </si>
  <si>
    <t>TaxableOtherChargesAddCESS</t>
  </si>
  <si>
    <t>TaxableOtherChargesGross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</si>
  <si>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</si>
  <si>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</si>
  <si>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</si>
  <si>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</si>
  <si>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</si>
  <si>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</si>
  <si>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</si>
  <si>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</si>
  <si>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</si>
  <si>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</si>
  <si>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141810a1-63e4-41e7-96c3-1d96795f7de4</t>
  </si>
  <si>
    <t xml:space="preserve">       </t>
  </si>
  <si>
    <t>Validate</t>
  </si>
  <si>
    <t>UserId</t>
  </si>
  <si>
    <t>Currency</t>
  </si>
  <si>
    <t>CanPost</t>
  </si>
  <si>
    <t>TransactionName</t>
  </si>
  <si>
    <t>Sales Returns With Invoice Reference</t>
  </si>
  <si>
    <t>Diff Dr</t>
  </si>
  <si>
    <t>Diff Cr</t>
  </si>
  <si>
    <t>3001070003022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</si>
</sst>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97"/>
  <sheetViews>
    <sheetView workbookViewId="0">
      <selection activeCell="E14" sqref="E14"/>
    </sheetView>
  </sheetViews>
  <sheetFormatPr defaultRowHeight="15" x14ac:dyDescent="0.25"/>
  <cols>
    <col min="1" max="2" width="53.710937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11</v>
      </c>
      <c r="C2" t="s">
        <v>11</v>
      </c>
    </row>
    <row r="3" spans="1:3" x14ac:dyDescent="0.25">
      <c r="A3" t="s">
        <v>12</v>
      </c>
      <c r="B3" t="s">
        <v>12</v>
      </c>
      <c r="C3" t="s">
        <v>13</v>
      </c>
    </row>
    <row r="4" spans="1:3" x14ac:dyDescent="0.25">
      <c r="A4" t="s">
        <v>14</v>
      </c>
      <c r="B4" t="s">
        <v>14</v>
      </c>
      <c r="C4" t="s">
        <v>14</v>
      </c>
    </row>
    <row r="5" spans="1:3" x14ac:dyDescent="0.25">
      <c r="A5" t="s">
        <v>15</v>
      </c>
      <c r="B5" t="s">
        <v>15</v>
      </c>
      <c r="C5" t="s">
        <v>16</v>
      </c>
    </row>
    <row r="6" spans="1:3" x14ac:dyDescent="0.25">
      <c r="A6" t="s">
        <v>17</v>
      </c>
      <c r="B6" t="s">
        <v>17</v>
      </c>
      <c r="C6" t="s">
        <v>17</v>
      </c>
    </row>
    <row r="7" spans="1:3" x14ac:dyDescent="0.25">
      <c r="A7" t="s">
        <v>18</v>
      </c>
      <c r="B7" t="s">
        <v>18</v>
      </c>
      <c r="C7" t="s">
        <v>18</v>
      </c>
    </row>
    <row r="8" spans="1:3" x14ac:dyDescent="0.25">
      <c r="A8" t="s">
        <v>19</v>
      </c>
      <c r="B8" t="s">
        <v>19</v>
      </c>
      <c r="C8" t="s">
        <v>19</v>
      </c>
    </row>
    <row r="9" spans="1:3" x14ac:dyDescent="0.25">
      <c r="A9" t="s">
        <v>20</v>
      </c>
      <c r="B9" t="s">
        <v>20</v>
      </c>
      <c r="C9" t="s">
        <v>20</v>
      </c>
    </row>
    <row r="10" spans="1:3" x14ac:dyDescent="0.25">
      <c r="A10" t="s">
        <v>21</v>
      </c>
      <c r="B10" t="s">
        <v>21</v>
      </c>
      <c r="C10" t="s">
        <v>21</v>
      </c>
    </row>
    <row r="11" spans="1:3" x14ac:dyDescent="0.25">
      <c r="A11" t="s">
        <v>22</v>
      </c>
      <c r="B11" t="s">
        <v>22</v>
      </c>
      <c r="C11" t="s">
        <v>22</v>
      </c>
    </row>
    <row r="12" spans="1:3" x14ac:dyDescent="0.25">
      <c r="A12" t="s">
        <v>23</v>
      </c>
      <c r="B12" t="s">
        <v>23</v>
      </c>
      <c r="C12" t="s">
        <v>23</v>
      </c>
    </row>
    <row r="13" spans="1:3" x14ac:dyDescent="0.25">
      <c r="A13" t="s">
        <v>24</v>
      </c>
      <c r="B13" t="s">
        <v>24</v>
      </c>
      <c r="C13" t="s">
        <v>25</v>
      </c>
    </row>
    <row r="14" spans="1:3" x14ac:dyDescent="0.25">
      <c r="A14" t="s">
        <v>26</v>
      </c>
      <c r="B14" t="s">
        <v>26</v>
      </c>
      <c r="C14" t="s">
        <v>27</v>
      </c>
    </row>
    <row r="15" spans="1:3" x14ac:dyDescent="0.25">
      <c r="A15" t="s">
        <v>28</v>
      </c>
      <c r="B15" t="s">
        <v>28</v>
      </c>
      <c r="C15" t="s">
        <v>29</v>
      </c>
    </row>
    <row r="16" spans="1:3" x14ac:dyDescent="0.25">
      <c r="A16" t="s">
        <v>30</v>
      </c>
      <c r="B16" t="s">
        <v>30</v>
      </c>
      <c r="C16" t="s">
        <v>31</v>
      </c>
    </row>
    <row r="17" spans="1:3" x14ac:dyDescent="0.25">
      <c r="A17" t="s">
        <v>32</v>
      </c>
      <c r="B17" t="s">
        <v>32</v>
      </c>
      <c r="C17" t="s">
        <v>32</v>
      </c>
    </row>
    <row r="18" spans="1:3" x14ac:dyDescent="0.25">
      <c r="A18" t="s">
        <v>33</v>
      </c>
      <c r="B18" t="s">
        <v>33</v>
      </c>
      <c r="C18" t="s">
        <v>34</v>
      </c>
    </row>
    <row r="19" spans="1:3" x14ac:dyDescent="0.25">
      <c r="A19" t="s">
        <v>35</v>
      </c>
      <c r="B19" t="s">
        <v>35</v>
      </c>
      <c r="C19" t="s">
        <v>36</v>
      </c>
    </row>
    <row r="20" spans="1:3" x14ac:dyDescent="0.25">
      <c r="A20" t="s">
        <v>37</v>
      </c>
      <c r="B20" t="s">
        <v>37</v>
      </c>
      <c r="C20" t="s">
        <v>38</v>
      </c>
    </row>
    <row r="21" spans="1:3" x14ac:dyDescent="0.25">
      <c r="A21" t="s">
        <v>39</v>
      </c>
      <c r="B21" t="s">
        <v>39</v>
      </c>
      <c r="C21" t="s">
        <v>39</v>
      </c>
    </row>
    <row r="22" spans="1:3" x14ac:dyDescent="0.25">
      <c r="A22" t="s">
        <v>40</v>
      </c>
      <c r="B22" t="s">
        <v>40</v>
      </c>
      <c r="C22" t="s">
        <v>40</v>
      </c>
    </row>
    <row r="23" spans="1:3" x14ac:dyDescent="0.25">
      <c r="A23" t="s">
        <v>41</v>
      </c>
      <c r="B23" t="s">
        <v>41</v>
      </c>
      <c r="C23" t="s">
        <v>42</v>
      </c>
    </row>
    <row r="24" spans="1:3" x14ac:dyDescent="0.25">
      <c r="A24" t="s">
        <v>43</v>
      </c>
      <c r="B24" t="s">
        <v>43</v>
      </c>
      <c r="C24" t="s">
        <v>43</v>
      </c>
    </row>
    <row r="25" spans="1:3" x14ac:dyDescent="0.25">
      <c r="A25" t="s">
        <v>44</v>
      </c>
      <c r="B25" t="s">
        <v>44</v>
      </c>
      <c r="C25" t="s">
        <v>44</v>
      </c>
    </row>
    <row r="26" spans="1:3" x14ac:dyDescent="0.25">
      <c r="A26" t="s">
        <v>45</v>
      </c>
      <c r="B26" t="s">
        <v>45</v>
      </c>
      <c r="C26" t="s">
        <v>45</v>
      </c>
    </row>
    <row r="27" spans="1:3" x14ac:dyDescent="0.25">
      <c r="A27" t="s">
        <v>46</v>
      </c>
      <c r="B27" t="s">
        <v>46</v>
      </c>
      <c r="C27" t="s">
        <v>46</v>
      </c>
    </row>
    <row r="28" spans="1:3" x14ac:dyDescent="0.25">
      <c r="A28" t="s">
        <v>47</v>
      </c>
      <c r="B28" t="s">
        <v>47</v>
      </c>
      <c r="C28" t="s">
        <v>48</v>
      </c>
    </row>
    <row r="29" spans="1:3" x14ac:dyDescent="0.25">
      <c r="A29" t="s">
        <v>49</v>
      </c>
      <c r="B29" t="s">
        <v>49</v>
      </c>
      <c r="C29" t="s">
        <v>49</v>
      </c>
    </row>
    <row r="30" spans="1:3" x14ac:dyDescent="0.25">
      <c r="A30" t="s">
        <v>50</v>
      </c>
      <c r="B30" t="s">
        <v>50</v>
      </c>
      <c r="C30" t="s">
        <v>50</v>
      </c>
    </row>
    <row r="31" spans="1:3" x14ac:dyDescent="0.25">
      <c r="A31" t="s">
        <v>51</v>
      </c>
      <c r="B31" t="s">
        <v>51</v>
      </c>
      <c r="C31" t="s">
        <v>51</v>
      </c>
    </row>
    <row r="32" spans="1:3" x14ac:dyDescent="0.25">
      <c r="A32" t="s">
        <v>52</v>
      </c>
      <c r="B32" t="s">
        <v>52</v>
      </c>
      <c r="C32" t="s">
        <v>52</v>
      </c>
    </row>
    <row r="33" spans="1:3" x14ac:dyDescent="0.25">
      <c r="A33" t="s">
        <v>53</v>
      </c>
      <c r="B33" t="s">
        <v>53</v>
      </c>
      <c r="C33" t="s">
        <v>53</v>
      </c>
    </row>
    <row r="34" spans="1:3" x14ac:dyDescent="0.25">
      <c r="A34" t="s">
        <v>54</v>
      </c>
      <c r="B34" t="s">
        <v>54</v>
      </c>
      <c r="C34" t="s">
        <v>54</v>
      </c>
    </row>
    <row r="35" spans="1:3" x14ac:dyDescent="0.25">
      <c r="A35" t="s">
        <v>55</v>
      </c>
      <c r="B35" t="s">
        <v>55</v>
      </c>
      <c r="C35" t="s">
        <v>55</v>
      </c>
    </row>
    <row r="36" spans="1:3" x14ac:dyDescent="0.25">
      <c r="A36" t="s">
        <v>56</v>
      </c>
      <c r="B36" t="s">
        <v>56</v>
      </c>
      <c r="C36" t="s">
        <v>56</v>
      </c>
    </row>
    <row r="37" spans="1:3" x14ac:dyDescent="0.25">
      <c r="A37" t="s">
        <v>57</v>
      </c>
      <c r="B37" t="s">
        <v>57</v>
      </c>
      <c r="C37" t="s">
        <v>57</v>
      </c>
    </row>
    <row r="38" spans="1:3" x14ac:dyDescent="0.25">
      <c r="A38" t="s">
        <v>58</v>
      </c>
      <c r="B38" t="s">
        <v>58</v>
      </c>
      <c r="C38" t="s">
        <v>58</v>
      </c>
    </row>
    <row r="39" spans="1:3" x14ac:dyDescent="0.25">
      <c r="A39" t="s">
        <v>59</v>
      </c>
      <c r="B39" t="s">
        <v>59</v>
      </c>
      <c r="C39" t="s">
        <v>60</v>
      </c>
    </row>
    <row r="40" spans="1:3" x14ac:dyDescent="0.25">
      <c r="A40" t="s">
        <v>61</v>
      </c>
      <c r="B40" t="s">
        <v>61</v>
      </c>
      <c r="C40" t="s">
        <v>62</v>
      </c>
    </row>
    <row r="41" spans="1:3" x14ac:dyDescent="0.25">
      <c r="A41" t="s">
        <v>63</v>
      </c>
      <c r="B41" t="s">
        <v>63</v>
      </c>
      <c r="C41" t="s">
        <v>63</v>
      </c>
    </row>
    <row r="42" spans="1:3" x14ac:dyDescent="0.25">
      <c r="A42" t="s">
        <v>64</v>
      </c>
      <c r="B42" t="s">
        <v>64</v>
      </c>
      <c r="C42" t="s">
        <v>64</v>
      </c>
    </row>
    <row r="43" spans="1:3" x14ac:dyDescent="0.25">
      <c r="A43" t="s">
        <v>65</v>
      </c>
      <c r="B43" t="s">
        <v>65</v>
      </c>
      <c r="C43" t="s">
        <v>65</v>
      </c>
    </row>
    <row r="44" spans="1:3" x14ac:dyDescent="0.25">
      <c r="A44" t="s">
        <v>66</v>
      </c>
      <c r="B44" t="s">
        <v>66</v>
      </c>
      <c r="C44" t="s">
        <v>66</v>
      </c>
    </row>
    <row r="45" spans="1:3" x14ac:dyDescent="0.25">
      <c r="A45" t="s">
        <v>67</v>
      </c>
      <c r="B45" t="s">
        <v>67</v>
      </c>
      <c r="C45" t="s">
        <v>68</v>
      </c>
    </row>
    <row r="46" spans="1:3" x14ac:dyDescent="0.25">
      <c r="A46" t="s">
        <v>69</v>
      </c>
      <c r="B46" t="s">
        <v>69</v>
      </c>
      <c r="C46" t="s">
        <v>70</v>
      </c>
    </row>
    <row r="47" spans="1:3" x14ac:dyDescent="0.25">
      <c r="A47" t="s">
        <v>71</v>
      </c>
      <c r="B47" t="s">
        <v>71</v>
      </c>
      <c r="C47" t="s">
        <v>71</v>
      </c>
    </row>
    <row r="48" spans="1:3" x14ac:dyDescent="0.25">
      <c r="A48" t="s">
        <v>72</v>
      </c>
      <c r="B48" t="s">
        <v>72</v>
      </c>
      <c r="C48" t="s">
        <v>73</v>
      </c>
    </row>
    <row r="49" spans="1:3" x14ac:dyDescent="0.25">
      <c r="A49" t="s">
        <v>74</v>
      </c>
      <c r="B49" t="s">
        <v>74</v>
      </c>
      <c r="C49" t="s">
        <v>74</v>
      </c>
    </row>
    <row r="50" spans="1:3" x14ac:dyDescent="0.25">
      <c r="A50" t="s">
        <v>75</v>
      </c>
      <c r="B50" t="s">
        <v>75</v>
      </c>
      <c r="C50" t="s">
        <v>76</v>
      </c>
    </row>
    <row r="51" spans="1:3" x14ac:dyDescent="0.25">
      <c r="A51" t="s">
        <v>77</v>
      </c>
      <c r="B51" t="s">
        <v>77</v>
      </c>
      <c r="C51" t="s">
        <v>78</v>
      </c>
    </row>
    <row r="52" spans="1:3" x14ac:dyDescent="0.25">
      <c r="A52" t="s">
        <v>79</v>
      </c>
      <c r="B52" t="s">
        <v>79</v>
      </c>
      <c r="C52" t="s">
        <v>79</v>
      </c>
    </row>
    <row r="53" spans="1:3" x14ac:dyDescent="0.25">
      <c r="A53" t="s">
        <v>80</v>
      </c>
      <c r="B53" t="s">
        <v>80</v>
      </c>
      <c r="C53" t="s">
        <v>81</v>
      </c>
    </row>
    <row r="54" spans="1:3" x14ac:dyDescent="0.25">
      <c r="A54" t="s">
        <v>82</v>
      </c>
      <c r="B54" t="s">
        <v>82</v>
      </c>
      <c r="C54" t="s">
        <v>83</v>
      </c>
    </row>
    <row r="55" spans="1:3" x14ac:dyDescent="0.25">
      <c r="A55" t="s">
        <v>84</v>
      </c>
      <c r="B55" t="s">
        <v>84</v>
      </c>
      <c r="C55" t="s">
        <v>85</v>
      </c>
    </row>
    <row r="56" spans="1:3" x14ac:dyDescent="0.25">
      <c r="A56" t="s">
        <v>86</v>
      </c>
      <c r="B56" t="s">
        <v>86</v>
      </c>
      <c r="C56" t="s">
        <v>87</v>
      </c>
    </row>
    <row r="57" spans="1:3" x14ac:dyDescent="0.25">
      <c r="A57" t="s">
        <v>88</v>
      </c>
      <c r="B57" t="s">
        <v>88</v>
      </c>
      <c r="C57" t="s">
        <v>89</v>
      </c>
    </row>
    <row r="58" spans="1:3" x14ac:dyDescent="0.25">
      <c r="A58" t="s">
        <v>90</v>
      </c>
      <c r="B58" t="s">
        <v>90</v>
      </c>
      <c r="C58" t="s">
        <v>91</v>
      </c>
    </row>
    <row r="59" spans="1:3" x14ac:dyDescent="0.25">
      <c r="A59" t="s">
        <v>92</v>
      </c>
      <c r="B59" t="s">
        <v>92</v>
      </c>
      <c r="C59" t="s">
        <v>93</v>
      </c>
    </row>
    <row r="60" spans="1:3" x14ac:dyDescent="0.25">
      <c r="A60" t="s">
        <v>94</v>
      </c>
      <c r="B60" t="s">
        <v>94</v>
      </c>
      <c r="C60" t="s">
        <v>95</v>
      </c>
    </row>
    <row r="61" spans="1:3" x14ac:dyDescent="0.25">
      <c r="A61" t="s">
        <v>96</v>
      </c>
      <c r="B61" t="s">
        <v>96</v>
      </c>
      <c r="C61" t="s">
        <v>97</v>
      </c>
    </row>
    <row r="62" spans="1:3" x14ac:dyDescent="0.25">
      <c r="A62" t="s">
        <v>98</v>
      </c>
      <c r="B62" t="s">
        <v>98</v>
      </c>
      <c r="C62" t="s">
        <v>99</v>
      </c>
    </row>
    <row r="63" spans="1:3" x14ac:dyDescent="0.25">
      <c r="A63" t="s">
        <v>100</v>
      </c>
      <c r="B63" t="s">
        <v>100</v>
      </c>
      <c r="C63" t="s">
        <v>100</v>
      </c>
    </row>
    <row r="64" spans="1:3" x14ac:dyDescent="0.25">
      <c r="A64" t="s">
        <v>101</v>
      </c>
      <c r="B64" t="s">
        <v>101</v>
      </c>
      <c r="C64" t="s">
        <v>101</v>
      </c>
    </row>
    <row r="65" spans="1:3" s="2" customFormat="1" x14ac:dyDescent="0.25">
      <c r="A65" s="2" t="s">
        <v>102</v>
      </c>
      <c r="B65" s="2" t="s">
        <v>102</v>
      </c>
      <c r="C65" s="2" t="s">
        <v>102</v>
      </c>
    </row>
    <row r="66" spans="1:3" x14ac:dyDescent="0.25">
      <c r="A66" t="s">
        <v>103</v>
      </c>
      <c r="B66" t="s">
        <v>103</v>
      </c>
      <c r="C66" t="s">
        <v>103</v>
      </c>
    </row>
    <row r="67" spans="1:3" s="2" customFormat="1" x14ac:dyDescent="0.25">
      <c r="A67" s="2" t="s">
        <v>104</v>
      </c>
      <c r="B67" s="2" t="s">
        <v>104</v>
      </c>
      <c r="C67" s="2" t="s">
        <v>104</v>
      </c>
    </row>
    <row r="68" spans="1:3" x14ac:dyDescent="0.25">
      <c r="A68" t="s">
        <v>105</v>
      </c>
      <c r="B68" t="s">
        <v>105</v>
      </c>
      <c r="C68" t="s">
        <v>105</v>
      </c>
    </row>
    <row r="69" spans="1:3" x14ac:dyDescent="0.25">
      <c r="A69" t="s">
        <v>106</v>
      </c>
      <c r="B69" t="s">
        <v>106</v>
      </c>
      <c r="C69" t="s">
        <v>107</v>
      </c>
    </row>
    <row r="70" spans="1:3" x14ac:dyDescent="0.25">
      <c r="A70" t="s">
        <v>108</v>
      </c>
      <c r="B70" t="s">
        <v>108</v>
      </c>
      <c r="C70" t="s">
        <v>109</v>
      </c>
    </row>
    <row r="71" spans="1:3" x14ac:dyDescent="0.25">
      <c r="A71" t="s">
        <v>110</v>
      </c>
      <c r="B71" t="s">
        <v>110</v>
      </c>
      <c r="C71" t="s">
        <v>111</v>
      </c>
    </row>
    <row r="72" spans="1:3" x14ac:dyDescent="0.25">
      <c r="A72" t="s">
        <v>112</v>
      </c>
      <c r="B72" t="s">
        <v>112</v>
      </c>
      <c r="C72" t="s">
        <v>113</v>
      </c>
    </row>
    <row r="73" spans="1:3" x14ac:dyDescent="0.25">
      <c r="A73" t="s">
        <v>114</v>
      </c>
      <c r="B73" t="s">
        <v>114</v>
      </c>
      <c r="C73" t="s">
        <v>115</v>
      </c>
    </row>
    <row r="74" spans="1:3" x14ac:dyDescent="0.25">
      <c r="A74" t="s">
        <v>116</v>
      </c>
      <c r="B74" t="s">
        <v>116</v>
      </c>
      <c r="C74" t="s">
        <v>117</v>
      </c>
    </row>
    <row r="75" spans="1:3" x14ac:dyDescent="0.25">
      <c r="A75" t="s">
        <v>118</v>
      </c>
      <c r="B75" t="s">
        <v>118</v>
      </c>
      <c r="C75" t="s">
        <v>119</v>
      </c>
    </row>
    <row r="76" spans="1:3" x14ac:dyDescent="0.25">
      <c r="A76" t="s">
        <v>120</v>
      </c>
      <c r="B76" t="s">
        <v>120</v>
      </c>
      <c r="C76" t="s">
        <v>121</v>
      </c>
    </row>
    <row r="77" spans="1:3" x14ac:dyDescent="0.25">
      <c r="A77" t="s">
        <v>122</v>
      </c>
      <c r="B77" t="s">
        <v>122</v>
      </c>
      <c r="C77" t="s">
        <v>123</v>
      </c>
    </row>
    <row r="78" spans="1:3" x14ac:dyDescent="0.25">
      <c r="A78" t="s">
        <v>124</v>
      </c>
      <c r="B78" t="s">
        <v>124</v>
      </c>
      <c r="C78" t="s">
        <v>124</v>
      </c>
    </row>
    <row r="79" spans="1:3" x14ac:dyDescent="0.25">
      <c r="A79" t="s">
        <v>125</v>
      </c>
      <c r="B79" t="s">
        <v>125</v>
      </c>
      <c r="C79" t="s">
        <v>125</v>
      </c>
    </row>
    <row r="80" spans="1:3" x14ac:dyDescent="0.25">
      <c r="A80" t="s">
        <v>126</v>
      </c>
      <c r="B80" t="s">
        <v>126</v>
      </c>
      <c r="C80" t="s">
        <v>126</v>
      </c>
    </row>
    <row r="81" spans="1:3" x14ac:dyDescent="0.25">
      <c r="A81" t="s">
        <v>127</v>
      </c>
      <c r="B81" t="s">
        <v>127</v>
      </c>
      <c r="C81" t="s">
        <v>127</v>
      </c>
    </row>
    <row r="82" spans="1:3" x14ac:dyDescent="0.25">
      <c r="A82" t="s">
        <v>128</v>
      </c>
      <c r="B82" t="s">
        <v>128</v>
      </c>
      <c r="C82" t="s">
        <v>128</v>
      </c>
    </row>
    <row r="83" spans="1:3" x14ac:dyDescent="0.25">
      <c r="A83" t="s">
        <v>129</v>
      </c>
      <c r="B83" t="s">
        <v>129</v>
      </c>
      <c r="C83" t="s">
        <v>129</v>
      </c>
    </row>
    <row r="84" spans="1:3" x14ac:dyDescent="0.25">
      <c r="A84" t="s">
        <v>130</v>
      </c>
      <c r="B84" t="s">
        <v>130</v>
      </c>
      <c r="C84" t="s">
        <v>130</v>
      </c>
    </row>
    <row r="85" spans="1:3" x14ac:dyDescent="0.25">
      <c r="A85" t="s">
        <v>131</v>
      </c>
      <c r="B85" t="s">
        <v>131</v>
      </c>
      <c r="C85" t="s">
        <v>132</v>
      </c>
    </row>
    <row r="86" spans="1:3" x14ac:dyDescent="0.25">
      <c r="A86" t="s">
        <v>133</v>
      </c>
      <c r="B86" t="s">
        <v>133</v>
      </c>
      <c r="C86" t="s">
        <v>133</v>
      </c>
    </row>
    <row r="87" spans="1:3" x14ac:dyDescent="0.25">
      <c r="A87" t="s">
        <v>134</v>
      </c>
      <c r="B87" t="s">
        <v>134</v>
      </c>
      <c r="C87" t="s">
        <v>135</v>
      </c>
    </row>
    <row r="88" spans="1:3" x14ac:dyDescent="0.25">
      <c r="A88" t="s">
        <v>136</v>
      </c>
      <c r="B88" t="s">
        <v>136</v>
      </c>
      <c r="C88" t="s">
        <v>136</v>
      </c>
    </row>
    <row r="89" spans="1:3" x14ac:dyDescent="0.25">
      <c r="A89" t="s">
        <v>137</v>
      </c>
      <c r="B89" t="s">
        <v>137</v>
      </c>
      <c r="C89" t="s">
        <v>137</v>
      </c>
    </row>
    <row r="90" spans="1:3" x14ac:dyDescent="0.25">
      <c r="A90" t="s">
        <v>138</v>
      </c>
      <c r="B90" t="s">
        <v>138</v>
      </c>
      <c r="C90" t="s">
        <v>139</v>
      </c>
    </row>
    <row r="91" spans="1:3" x14ac:dyDescent="0.25">
      <c r="A91" t="s">
        <v>140</v>
      </c>
      <c r="B91" t="s">
        <v>140</v>
      </c>
      <c r="C91" t="s">
        <v>141</v>
      </c>
    </row>
    <row r="92" spans="1:3" x14ac:dyDescent="0.25">
      <c r="A92" t="s">
        <v>142</v>
      </c>
      <c r="B92" t="s">
        <v>142</v>
      </c>
      <c r="C92" t="s">
        <v>143</v>
      </c>
    </row>
    <row r="93" spans="1:3" x14ac:dyDescent="0.25">
      <c r="A93" t="s">
        <v>144</v>
      </c>
      <c r="B93" t="s">
        <v>144</v>
      </c>
      <c r="C93" t="s">
        <v>144</v>
      </c>
    </row>
    <row r="94" spans="1:3" x14ac:dyDescent="0.25">
      <c r="A94" t="s">
        <v>145</v>
      </c>
      <c r="B94" t="s">
        <v>145</v>
      </c>
      <c r="C94" t="s">
        <v>146</v>
      </c>
    </row>
    <row r="95" spans="1:3" x14ac:dyDescent="0.25">
      <c r="A95" t="s">
        <v>147</v>
      </c>
      <c r="B95" t="s">
        <v>147</v>
      </c>
      <c r="C95" t="s">
        <v>148</v>
      </c>
    </row>
    <row r="96" spans="1:3" x14ac:dyDescent="0.25">
      <c r="A96" t="s">
        <v>149</v>
      </c>
      <c r="B96" t="s">
        <v>149</v>
      </c>
      <c r="C96" t="s">
        <v>150</v>
      </c>
    </row>
    <row r="97" spans="1:3" x14ac:dyDescent="0.25">
      <c r="A97" t="s">
        <v>151</v>
      </c>
      <c r="B97" t="s">
        <v>151</v>
      </c>
      <c r="C97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2"/>
  <sheetViews>
    <sheetView workbookViewId="0">
      <selection activeCell="F2" sqref="F2"/>
    </sheetView>
  </sheetViews>
  <sheetFormatPr defaultRowHeight="15" x14ac:dyDescent="0.25"/>
  <cols>
    <col min="1" max="1" width="10.140625" bestFit="1" customWidth="1"/>
    <col min="2" max="2" width="16.710937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7" bestFit="1" customWidth="1"/>
    <col min="8" max="8" width="18.28515625" bestFit="1" customWidth="1"/>
  </cols>
  <sheetData>
    <row r="1" spans="1:8" x14ac:dyDescent="0.25">
      <c r="A1" t="s">
        <v>484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354</v>
      </c>
      <c r="H1" t="s">
        <v>483</v>
      </c>
    </row>
    <row r="2" spans="1:8" x14ac:dyDescent="0.25">
      <c r="A2" s="1">
        <v>45849</v>
      </c>
      <c r="B2" t="s">
        <v>193</v>
      </c>
      <c r="C2" t="s">
        <v>183</v>
      </c>
      <c r="D2" t="s">
        <v>187</v>
      </c>
      <c r="E2">
        <v>200</v>
      </c>
      <c r="F2" s="2" t="s">
        <v>201</v>
      </c>
      <c r="G2">
        <v>1148.4000000000001</v>
      </c>
      <c r="H2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H1"/>
  <sheetViews>
    <sheetView workbookViewId="0">
      <selection activeCell="B1" sqref="B1"/>
    </sheetView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484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354</v>
      </c>
      <c r="H1" t="s">
        <v>483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484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354</v>
      </c>
      <c r="H1" t="s">
        <v>483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484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354</v>
      </c>
      <c r="H1" t="s">
        <v>483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B6"/>
  <sheetViews>
    <sheetView workbookViewId="0">
      <selection activeCell="D4" sqref="D4"/>
    </sheetView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372</v>
      </c>
      <c r="B1" t="s">
        <v>519</v>
      </c>
    </row>
    <row r="2" spans="1:2" x14ac:dyDescent="0.25">
      <c r="A2">
        <v>12.11</v>
      </c>
      <c r="B2" t="s">
        <v>526</v>
      </c>
    </row>
    <row r="3" spans="1:2" x14ac:dyDescent="0.25">
      <c r="A3">
        <v>12.12</v>
      </c>
      <c r="B3" t="s">
        <v>534</v>
      </c>
    </row>
    <row r="4" spans="1:2" x14ac:dyDescent="0.25">
      <c r="A4">
        <v>12.13</v>
      </c>
      <c r="B4" t="s">
        <v>542</v>
      </c>
    </row>
    <row r="5" spans="1:2" x14ac:dyDescent="0.25">
      <c r="A5">
        <v>12.14</v>
      </c>
      <c r="B5" t="s">
        <v>550</v>
      </c>
    </row>
    <row r="6" spans="1:2" x14ac:dyDescent="0.25">
      <c r="A6">
        <v>12.15</v>
      </c>
      <c r="B6" t="s">
        <v>558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372</v>
      </c>
      <c r="B1" t="s">
        <v>486</v>
      </c>
    </row>
    <row r="2" spans="1:2" x14ac:dyDescent="0.25">
      <c r="A2">
        <v>11.11</v>
      </c>
      <c r="B2" t="s">
        <v>487</v>
      </c>
    </row>
    <row r="3" spans="1:2" x14ac:dyDescent="0.25">
      <c r="A3">
        <v>11.12</v>
      </c>
      <c r="B3" t="s">
        <v>493</v>
      </c>
    </row>
    <row r="4" spans="1:2" x14ac:dyDescent="0.25">
      <c r="A4">
        <v>11.13</v>
      </c>
      <c r="B4" t="s">
        <v>499</v>
      </c>
    </row>
    <row r="5" spans="1:2" x14ac:dyDescent="0.25">
      <c r="A5">
        <v>11.14</v>
      </c>
      <c r="B5" t="s">
        <v>505</v>
      </c>
    </row>
    <row r="6" spans="1:2" x14ac:dyDescent="0.25">
      <c r="A6">
        <v>11.15</v>
      </c>
      <c r="B6" t="s">
        <v>511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373</v>
      </c>
      <c r="B1" t="s">
        <v>525</v>
      </c>
    </row>
    <row r="2" spans="1:2" x14ac:dyDescent="0.25">
      <c r="A2">
        <v>1.21</v>
      </c>
      <c r="B2" t="s">
        <v>528</v>
      </c>
    </row>
    <row r="3" spans="1:2" x14ac:dyDescent="0.25">
      <c r="A3">
        <v>1.22</v>
      </c>
      <c r="B3" t="s">
        <v>536</v>
      </c>
    </row>
    <row r="4" spans="1:2" x14ac:dyDescent="0.25">
      <c r="A4">
        <v>1.23</v>
      </c>
      <c r="B4" t="s">
        <v>544</v>
      </c>
    </row>
    <row r="5" spans="1:2" x14ac:dyDescent="0.25">
      <c r="A5">
        <v>1.24</v>
      </c>
      <c r="B5" t="s">
        <v>552</v>
      </c>
    </row>
    <row r="6" spans="1:2" x14ac:dyDescent="0.25">
      <c r="A6">
        <v>1.25</v>
      </c>
      <c r="B6" t="s">
        <v>560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D16"/>
  <sheetViews>
    <sheetView workbookViewId="0">
      <selection activeCell="F3" sqref="F3"/>
    </sheetView>
  </sheetViews>
  <sheetFormatPr defaultRowHeight="15" x14ac:dyDescent="0.25"/>
  <cols>
    <col min="1" max="1" width="12" bestFit="1" customWidth="1"/>
    <col min="2" max="2" width="10.42578125" bestFit="1" customWidth="1"/>
    <col min="3" max="3" width="18.85546875" bestFit="1" customWidth="1"/>
    <col min="4" max="4" width="19.85546875" bestFit="1" customWidth="1"/>
  </cols>
  <sheetData>
    <row r="1" spans="1:4" x14ac:dyDescent="0.25">
      <c r="A1" t="s">
        <v>521</v>
      </c>
      <c r="B1" t="s">
        <v>520</v>
      </c>
      <c r="C1" t="s">
        <v>522</v>
      </c>
      <c r="D1" t="s">
        <v>523</v>
      </c>
    </row>
    <row r="2" spans="1:4" x14ac:dyDescent="0.25">
      <c r="A2" s="1">
        <v>45880</v>
      </c>
      <c r="B2" t="s">
        <v>527</v>
      </c>
      <c r="C2" t="s">
        <v>526</v>
      </c>
      <c r="D2" s="2" t="s">
        <v>180</v>
      </c>
    </row>
    <row r="3" spans="1:4" x14ac:dyDescent="0.25">
      <c r="A3" s="1">
        <v>45881</v>
      </c>
      <c r="B3" t="s">
        <v>535</v>
      </c>
      <c r="C3" t="s">
        <v>534</v>
      </c>
      <c r="D3" s="2" t="s">
        <v>180</v>
      </c>
    </row>
    <row r="4" spans="1:4" x14ac:dyDescent="0.25">
      <c r="A4" s="1">
        <v>45882</v>
      </c>
      <c r="B4" t="s">
        <v>543</v>
      </c>
      <c r="C4" t="s">
        <v>542</v>
      </c>
      <c r="D4" s="2" t="s">
        <v>180</v>
      </c>
    </row>
    <row r="5" spans="1:4" x14ac:dyDescent="0.25">
      <c r="A5" s="1">
        <v>45883</v>
      </c>
      <c r="B5" t="s">
        <v>551</v>
      </c>
      <c r="C5" t="s">
        <v>550</v>
      </c>
      <c r="D5" s="2" t="s">
        <v>180</v>
      </c>
    </row>
    <row r="6" spans="1:4" x14ac:dyDescent="0.25">
      <c r="A6" s="1">
        <v>45884</v>
      </c>
      <c r="B6" t="s">
        <v>559</v>
      </c>
      <c r="C6" t="s">
        <v>558</v>
      </c>
      <c r="D6" s="2" t="s">
        <v>180</v>
      </c>
    </row>
    <row r="7" spans="1:4" x14ac:dyDescent="0.25">
      <c r="A7" s="1">
        <v>45885</v>
      </c>
      <c r="B7" t="s">
        <v>569</v>
      </c>
      <c r="C7" t="s">
        <v>567</v>
      </c>
      <c r="D7" s="2" t="s">
        <v>180</v>
      </c>
    </row>
    <row r="8" spans="1:4" x14ac:dyDescent="0.25">
      <c r="A8" s="1">
        <v>45886</v>
      </c>
      <c r="B8" t="s">
        <v>576</v>
      </c>
      <c r="C8" t="s">
        <v>575</v>
      </c>
      <c r="D8" s="2" t="s">
        <v>180</v>
      </c>
    </row>
    <row r="9" spans="1:4" x14ac:dyDescent="0.25">
      <c r="A9" s="1">
        <v>45887</v>
      </c>
      <c r="B9" t="s">
        <v>583</v>
      </c>
      <c r="C9" t="s">
        <v>582</v>
      </c>
      <c r="D9" s="2" t="s">
        <v>180</v>
      </c>
    </row>
    <row r="10" spans="1:4" x14ac:dyDescent="0.25">
      <c r="A10" s="1">
        <v>45888</v>
      </c>
      <c r="B10" t="s">
        <v>590</v>
      </c>
      <c r="C10" t="s">
        <v>589</v>
      </c>
      <c r="D10" s="2" t="s">
        <v>180</v>
      </c>
    </row>
    <row r="11" spans="1:4" x14ac:dyDescent="0.25">
      <c r="A11" s="1">
        <v>45889</v>
      </c>
      <c r="B11" t="s">
        <v>597</v>
      </c>
      <c r="C11" t="s">
        <v>596</v>
      </c>
      <c r="D11" s="2" t="s">
        <v>180</v>
      </c>
    </row>
    <row r="12" spans="1:4" x14ac:dyDescent="0.25">
      <c r="A12" s="1">
        <v>45890</v>
      </c>
      <c r="B12" t="s">
        <v>604</v>
      </c>
      <c r="C12" t="s">
        <v>596</v>
      </c>
      <c r="D12" s="2" t="s">
        <v>180</v>
      </c>
    </row>
    <row r="13" spans="1:4" x14ac:dyDescent="0.25">
      <c r="A13" s="1">
        <v>45891</v>
      </c>
      <c r="B13" t="s">
        <v>612</v>
      </c>
      <c r="C13" t="s">
        <v>611</v>
      </c>
      <c r="D13" s="2" t="s">
        <v>180</v>
      </c>
    </row>
    <row r="14" spans="1:4" x14ac:dyDescent="0.25">
      <c r="A14" s="1">
        <v>45892</v>
      </c>
      <c r="B14" t="s">
        <v>620</v>
      </c>
      <c r="C14" t="s">
        <v>619</v>
      </c>
      <c r="D14" s="2" t="s">
        <v>180</v>
      </c>
    </row>
    <row r="15" spans="1:4" x14ac:dyDescent="0.25">
      <c r="A15" s="1">
        <v>45893</v>
      </c>
      <c r="B15" t="s">
        <v>628</v>
      </c>
      <c r="C15" t="s">
        <v>627</v>
      </c>
      <c r="D15" s="2" t="s">
        <v>180</v>
      </c>
    </row>
    <row r="16" spans="1:4" x14ac:dyDescent="0.25">
      <c r="A16" s="1">
        <v>45894</v>
      </c>
      <c r="B16" t="s">
        <v>636</v>
      </c>
      <c r="C16" t="s">
        <v>635</v>
      </c>
      <c r="D16" s="2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2.140625" bestFit="1" customWidth="1"/>
  </cols>
  <sheetData>
    <row r="1" spans="1:3" x14ac:dyDescent="0.25">
      <c r="A1" t="s">
        <v>372</v>
      </c>
      <c r="B1" t="s">
        <v>519</v>
      </c>
      <c r="C1" t="s">
        <v>566</v>
      </c>
    </row>
    <row r="2" spans="1:3" x14ac:dyDescent="0.25">
      <c r="A2">
        <v>13.11</v>
      </c>
      <c r="B2" t="s">
        <v>567</v>
      </c>
      <c r="C2" t="s">
        <v>568</v>
      </c>
    </row>
    <row r="3" spans="1:3" x14ac:dyDescent="0.25">
      <c r="A3">
        <v>13.12</v>
      </c>
      <c r="B3" t="s">
        <v>575</v>
      </c>
      <c r="C3" t="s">
        <v>568</v>
      </c>
    </row>
    <row r="4" spans="1:3" x14ac:dyDescent="0.25">
      <c r="A4">
        <v>13.13</v>
      </c>
      <c r="B4" t="s">
        <v>582</v>
      </c>
      <c r="C4" t="s">
        <v>568</v>
      </c>
    </row>
    <row r="5" spans="1:3" x14ac:dyDescent="0.25">
      <c r="A5">
        <v>13.14</v>
      </c>
      <c r="B5" t="s">
        <v>589</v>
      </c>
      <c r="C5" t="s">
        <v>568</v>
      </c>
    </row>
    <row r="6" spans="1:3" x14ac:dyDescent="0.25">
      <c r="A6">
        <v>13.15</v>
      </c>
      <c r="B6" t="s">
        <v>596</v>
      </c>
      <c r="C6" t="s">
        <v>568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372</v>
      </c>
      <c r="B1" t="s">
        <v>519</v>
      </c>
    </row>
    <row r="2" spans="1:2" x14ac:dyDescent="0.25">
      <c r="A2">
        <v>14.11</v>
      </c>
      <c r="B2" t="s">
        <v>596</v>
      </c>
    </row>
    <row r="3" spans="1:2" x14ac:dyDescent="0.25">
      <c r="A3">
        <v>14.12</v>
      </c>
      <c r="B3" t="s">
        <v>611</v>
      </c>
    </row>
    <row r="4" spans="1:2" x14ac:dyDescent="0.25">
      <c r="A4">
        <v>14.13</v>
      </c>
      <c r="B4" t="s">
        <v>619</v>
      </c>
    </row>
    <row r="5" spans="1:2" x14ac:dyDescent="0.25">
      <c r="A5">
        <v>14.14</v>
      </c>
      <c r="B5" t="s">
        <v>627</v>
      </c>
    </row>
    <row r="6" spans="1:2" x14ac:dyDescent="0.25">
      <c r="A6">
        <v>14.15</v>
      </c>
      <c r="B6" t="s">
        <v>635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C2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9.28515625" bestFit="1" customWidth="1"/>
    <col min="3" max="3" width="26.5703125" bestFit="1" customWidth="1"/>
  </cols>
  <sheetData>
    <row r="1" spans="1:3" x14ac:dyDescent="0.25">
      <c r="A1" t="s">
        <v>479</v>
      </c>
      <c r="B1" t="s">
        <v>723</v>
      </c>
      <c r="C1" t="s">
        <v>173</v>
      </c>
    </row>
    <row r="2" spans="1:3" x14ac:dyDescent="0.25">
      <c r="A2">
        <v>67.89</v>
      </c>
      <c r="B2">
        <v>1357.85</v>
      </c>
      <c r="C2" t="s">
        <v>198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B7"/>
  <sheetViews>
    <sheetView workbookViewId="0"/>
  </sheetViews>
  <sheetFormatPr defaultRowHeight="15" x14ac:dyDescent="0.25"/>
  <cols>
    <col min="1" max="1" width="13.42578125" bestFit="1" customWidth="1"/>
    <col min="2" max="2" width="23.7109375" bestFit="1" customWidth="1"/>
  </cols>
  <sheetData>
    <row r="1" spans="1:2" x14ac:dyDescent="0.25">
      <c r="A1" t="s">
        <v>222</v>
      </c>
      <c r="B1" t="s">
        <v>221</v>
      </c>
    </row>
    <row r="2" spans="1:2" x14ac:dyDescent="0.25">
      <c r="A2">
        <v>3.15</v>
      </c>
      <c r="B2">
        <v>1.1200000000000001</v>
      </c>
    </row>
    <row r="3" spans="1:2" x14ac:dyDescent="0.25">
      <c r="A3">
        <v>3.18</v>
      </c>
      <c r="B3">
        <v>1.1299999999999999</v>
      </c>
    </row>
    <row r="4" spans="1:2" x14ac:dyDescent="0.25">
      <c r="A4">
        <v>1.29</v>
      </c>
      <c r="B4">
        <v>1.1399999999999999</v>
      </c>
    </row>
    <row r="5" spans="1:2" x14ac:dyDescent="0.25">
      <c r="A5">
        <v>2.88</v>
      </c>
      <c r="B5">
        <v>1.1499999999999999</v>
      </c>
    </row>
    <row r="6" spans="1:2" x14ac:dyDescent="0.25">
      <c r="A6">
        <v>0</v>
      </c>
      <c r="B6">
        <v>1.1599999999999999</v>
      </c>
    </row>
    <row r="7" spans="1:2" x14ac:dyDescent="0.25">
      <c r="A7">
        <v>3.28</v>
      </c>
      <c r="B7">
        <v>1.17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220</v>
      </c>
      <c r="B1" t="s">
        <v>175</v>
      </c>
    </row>
    <row r="2" spans="1:2" x14ac:dyDescent="0.25">
      <c r="A2">
        <v>3.12</v>
      </c>
      <c r="B2">
        <v>1.1100000000000001</v>
      </c>
    </row>
    <row r="3" spans="1:2" x14ac:dyDescent="0.25">
      <c r="A3">
        <v>3.12</v>
      </c>
      <c r="B3">
        <v>1.1100000000000001</v>
      </c>
    </row>
    <row r="4" spans="1:2" x14ac:dyDescent="0.25">
      <c r="A4">
        <v>1.25</v>
      </c>
      <c r="B4">
        <v>1.1100000000000001</v>
      </c>
    </row>
    <row r="5" spans="1:2" x14ac:dyDescent="0.25">
      <c r="A5">
        <v>2.78</v>
      </c>
      <c r="B5">
        <v>1.1100000000000001</v>
      </c>
    </row>
    <row r="6" spans="1:2" x14ac:dyDescent="0.25">
      <c r="A6">
        <v>3.11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367</v>
      </c>
      <c r="B1" t="s">
        <v>368</v>
      </c>
      <c r="C1" t="s">
        <v>369</v>
      </c>
      <c r="D1" t="s">
        <v>724</v>
      </c>
      <c r="E1" t="s">
        <v>373</v>
      </c>
      <c r="F1" t="s">
        <v>375</v>
      </c>
      <c r="G1" t="s">
        <v>370</v>
      </c>
    </row>
    <row r="2" spans="1:7" x14ac:dyDescent="0.25">
      <c r="A2" t="s">
        <v>377</v>
      </c>
      <c r="B2" t="s">
        <v>378</v>
      </c>
      <c r="C2">
        <v>1144.25</v>
      </c>
      <c r="D2" t="s">
        <v>191</v>
      </c>
      <c r="E2">
        <v>18.54</v>
      </c>
      <c r="F2">
        <v>0</v>
      </c>
      <c r="G2">
        <v>1.62</v>
      </c>
    </row>
    <row r="3" spans="1:7" x14ac:dyDescent="0.25">
      <c r="A3" t="s">
        <v>384</v>
      </c>
      <c r="B3" t="s">
        <v>385</v>
      </c>
      <c r="C3">
        <v>1205.06</v>
      </c>
      <c r="D3" t="s">
        <v>191</v>
      </c>
      <c r="E3">
        <v>19.64</v>
      </c>
      <c r="F3">
        <v>0</v>
      </c>
      <c r="G3">
        <v>1.63</v>
      </c>
    </row>
    <row r="4" spans="1:7" x14ac:dyDescent="0.25">
      <c r="A4" t="s">
        <v>391</v>
      </c>
      <c r="B4" t="s">
        <v>378</v>
      </c>
      <c r="C4">
        <v>1144.25</v>
      </c>
      <c r="D4" t="s">
        <v>191</v>
      </c>
      <c r="E4">
        <v>0</v>
      </c>
      <c r="F4">
        <v>18.77</v>
      </c>
      <c r="G4">
        <v>1.64</v>
      </c>
    </row>
    <row r="5" spans="1:7" x14ac:dyDescent="0.25">
      <c r="A5" t="s">
        <v>397</v>
      </c>
      <c r="B5" t="s">
        <v>398</v>
      </c>
      <c r="C5">
        <v>1349.18</v>
      </c>
      <c r="D5" t="s">
        <v>191</v>
      </c>
      <c r="E5">
        <v>0</v>
      </c>
      <c r="F5">
        <v>22.26</v>
      </c>
      <c r="G5">
        <v>1.65</v>
      </c>
    </row>
    <row r="6" spans="1:7" x14ac:dyDescent="0.25">
      <c r="A6" t="s">
        <v>404</v>
      </c>
      <c r="B6" t="s">
        <v>405</v>
      </c>
      <c r="C6">
        <v>1346.33</v>
      </c>
      <c r="D6" t="s">
        <v>191</v>
      </c>
      <c r="E6">
        <v>0</v>
      </c>
      <c r="F6">
        <v>22.35</v>
      </c>
      <c r="G6">
        <v>1.66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367</v>
      </c>
      <c r="B1" t="s">
        <v>372</v>
      </c>
      <c r="C1" t="s">
        <v>725</v>
      </c>
    </row>
    <row r="2" spans="1:3" x14ac:dyDescent="0.25">
      <c r="A2" t="s">
        <v>413</v>
      </c>
      <c r="B2">
        <v>1.49</v>
      </c>
      <c r="C2" t="s">
        <v>180</v>
      </c>
    </row>
    <row r="3" spans="1:3" x14ac:dyDescent="0.25">
      <c r="A3" t="s">
        <v>423</v>
      </c>
      <c r="B3">
        <v>1.45</v>
      </c>
      <c r="C3" t="s">
        <v>180</v>
      </c>
    </row>
    <row r="4" spans="1:3" x14ac:dyDescent="0.25">
      <c r="A4" t="s">
        <v>429</v>
      </c>
      <c r="B4">
        <v>1.46</v>
      </c>
      <c r="C4" t="s">
        <v>180</v>
      </c>
    </row>
    <row r="5" spans="1:3" x14ac:dyDescent="0.25">
      <c r="A5" t="s">
        <v>437</v>
      </c>
      <c r="B5">
        <v>1.47</v>
      </c>
      <c r="C5" t="s">
        <v>180</v>
      </c>
    </row>
    <row r="6" spans="1:3" x14ac:dyDescent="0.25">
      <c r="A6" t="s">
        <v>447</v>
      </c>
      <c r="B6">
        <v>1.48</v>
      </c>
      <c r="C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t="s">
        <v>224</v>
      </c>
      <c r="B1" t="s">
        <v>227</v>
      </c>
      <c r="C1" t="s">
        <v>230</v>
      </c>
      <c r="D1" t="s">
        <v>225</v>
      </c>
      <c r="E1" t="s">
        <v>228</v>
      </c>
      <c r="F1" t="s">
        <v>231</v>
      </c>
      <c r="G1" t="s">
        <v>223</v>
      </c>
      <c r="H1" t="s">
        <v>226</v>
      </c>
      <c r="I1" t="s">
        <v>229</v>
      </c>
      <c r="J1" t="s">
        <v>232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282</v>
      </c>
      <c r="H2" t="s">
        <v>282</v>
      </c>
      <c r="I2" t="s">
        <v>282</v>
      </c>
      <c r="J2">
        <v>15.59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282</v>
      </c>
      <c r="H3" t="s">
        <v>299</v>
      </c>
      <c r="I3" t="s">
        <v>299</v>
      </c>
      <c r="J3">
        <v>15.65</v>
      </c>
    </row>
    <row r="4" spans="1:10" x14ac:dyDescent="0.25">
      <c r="A4">
        <v>1.04</v>
      </c>
      <c r="B4">
        <v>1.0900000000000001</v>
      </c>
      <c r="C4">
        <v>1.25</v>
      </c>
      <c r="D4" s="2">
        <v>1.17</v>
      </c>
      <c r="E4" s="2">
        <v>1.22</v>
      </c>
      <c r="F4" s="2">
        <v>1.39</v>
      </c>
      <c r="G4" s="2" t="s">
        <v>314</v>
      </c>
      <c r="H4" s="2" t="s">
        <v>315</v>
      </c>
      <c r="I4" s="2" t="s">
        <v>315</v>
      </c>
      <c r="J4" s="2">
        <v>6.32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333</v>
      </c>
      <c r="H5" t="s">
        <v>333</v>
      </c>
      <c r="I5" t="s">
        <v>334</v>
      </c>
      <c r="J5">
        <v>11.04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354</v>
      </c>
      <c r="H6" t="s">
        <v>354</v>
      </c>
      <c r="I6" t="s">
        <v>355</v>
      </c>
      <c r="J6">
        <v>12.21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215</v>
      </c>
      <c r="B1" t="s">
        <v>216</v>
      </c>
    </row>
    <row r="2" spans="1:2" x14ac:dyDescent="0.25">
      <c r="A2">
        <v>1.012</v>
      </c>
      <c r="B2" t="s">
        <v>280</v>
      </c>
    </row>
    <row r="3" spans="1:2" x14ac:dyDescent="0.25">
      <c r="A3">
        <v>1.103</v>
      </c>
      <c r="B3" t="s">
        <v>280</v>
      </c>
    </row>
    <row r="4" spans="1:2" x14ac:dyDescent="0.25">
      <c r="A4">
        <v>1.105</v>
      </c>
      <c r="B4" t="s">
        <v>280</v>
      </c>
    </row>
    <row r="5" spans="1:2" x14ac:dyDescent="0.25">
      <c r="A5">
        <v>1</v>
      </c>
      <c r="B5" t="s">
        <v>280</v>
      </c>
    </row>
    <row r="6" spans="1:2" x14ac:dyDescent="0.25">
      <c r="A6">
        <v>1.1100000000000001</v>
      </c>
      <c r="B6" t="s">
        <v>280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K7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8.42578125" bestFit="1" customWidth="1"/>
    <col min="5" max="5" width="23.42578125" bestFit="1" customWidth="1"/>
    <col min="6" max="6" width="8.7109375" bestFit="1" customWidth="1"/>
    <col min="7" max="7" width="20.85546875" bestFit="1" customWidth="1"/>
    <col min="8" max="8" width="11.5703125" bestFit="1" customWidth="1"/>
    <col min="9" max="9" width="8.7109375" bestFit="1" customWidth="1"/>
    <col min="10" max="10" width="5.42578125" bestFit="1" customWidth="1"/>
    <col min="11" max="11" width="18.28515625" bestFit="1" customWidth="1"/>
  </cols>
  <sheetData>
    <row r="1" spans="1:11" x14ac:dyDescent="0.25">
      <c r="A1" t="s">
        <v>726</v>
      </c>
      <c r="B1" t="s">
        <v>219</v>
      </c>
      <c r="C1" t="s">
        <v>217</v>
      </c>
      <c r="D1" t="s">
        <v>174</v>
      </c>
      <c r="E1" t="s">
        <v>204</v>
      </c>
      <c r="F1" t="s">
        <v>213</v>
      </c>
      <c r="G1" t="s">
        <v>727</v>
      </c>
      <c r="H1" t="s">
        <v>728</v>
      </c>
      <c r="I1" t="s">
        <v>218</v>
      </c>
      <c r="J1" t="s">
        <v>210</v>
      </c>
      <c r="K1" t="s">
        <v>483</v>
      </c>
    </row>
    <row r="2" spans="1:11" x14ac:dyDescent="0.25">
      <c r="A2">
        <v>265.27999999999997</v>
      </c>
      <c r="B2">
        <v>280.87</v>
      </c>
      <c r="C2">
        <v>500.11</v>
      </c>
      <c r="D2" t="s">
        <v>180</v>
      </c>
      <c r="E2" t="s">
        <v>276</v>
      </c>
      <c r="F2">
        <v>1.123</v>
      </c>
      <c r="G2" t="s">
        <v>279</v>
      </c>
      <c r="H2">
        <v>0</v>
      </c>
      <c r="I2">
        <v>250.11</v>
      </c>
      <c r="J2" t="s">
        <v>280</v>
      </c>
      <c r="K2" t="s">
        <v>180</v>
      </c>
    </row>
    <row r="3" spans="1:11" x14ac:dyDescent="0.25">
      <c r="A3">
        <v>265.48</v>
      </c>
      <c r="B3">
        <v>281.13</v>
      </c>
      <c r="C3">
        <v>500.12</v>
      </c>
      <c r="D3" t="s">
        <v>180</v>
      </c>
      <c r="E3" t="s">
        <v>297</v>
      </c>
      <c r="F3">
        <v>1.1240000000000001</v>
      </c>
      <c r="G3" t="s">
        <v>298</v>
      </c>
      <c r="H3">
        <v>0</v>
      </c>
      <c r="I3">
        <v>250.12</v>
      </c>
      <c r="J3" t="s">
        <v>280</v>
      </c>
      <c r="K3" t="s">
        <v>180</v>
      </c>
    </row>
    <row r="4" spans="1:11" x14ac:dyDescent="0.25">
      <c r="A4" s="2">
        <v>106.43</v>
      </c>
      <c r="B4">
        <v>112.75</v>
      </c>
      <c r="C4">
        <v>1000.13</v>
      </c>
      <c r="D4" t="s">
        <v>180</v>
      </c>
      <c r="E4" t="s">
        <v>311</v>
      </c>
      <c r="F4">
        <v>1.1259999999999999</v>
      </c>
      <c r="G4" t="s">
        <v>313</v>
      </c>
      <c r="H4">
        <v>0</v>
      </c>
      <c r="I4">
        <v>100.13</v>
      </c>
      <c r="J4" t="s">
        <v>280</v>
      </c>
      <c r="K4" t="s">
        <v>180</v>
      </c>
    </row>
    <row r="5" spans="1:11" x14ac:dyDescent="0.25">
      <c r="A5">
        <v>239.1</v>
      </c>
      <c r="B5">
        <v>250.14</v>
      </c>
      <c r="C5">
        <v>500.14</v>
      </c>
      <c r="D5" t="s">
        <v>180</v>
      </c>
      <c r="E5" t="s">
        <v>330</v>
      </c>
      <c r="F5">
        <v>1</v>
      </c>
      <c r="G5" t="s">
        <v>332</v>
      </c>
      <c r="H5">
        <v>0</v>
      </c>
      <c r="I5">
        <v>250.14</v>
      </c>
      <c r="J5" t="s">
        <v>280</v>
      </c>
      <c r="K5" t="s">
        <v>180</v>
      </c>
    </row>
    <row r="6" spans="1:11" x14ac:dyDescent="0.25">
      <c r="A6">
        <v>0</v>
      </c>
      <c r="B6">
        <v>0</v>
      </c>
      <c r="C6">
        <v>500.14</v>
      </c>
      <c r="D6" t="s">
        <v>180</v>
      </c>
      <c r="E6" t="s">
        <v>330</v>
      </c>
      <c r="F6">
        <v>0</v>
      </c>
      <c r="G6" t="s">
        <v>332</v>
      </c>
      <c r="H6">
        <v>0</v>
      </c>
      <c r="I6">
        <v>250.14</v>
      </c>
      <c r="J6" t="s">
        <v>280</v>
      </c>
      <c r="K6" t="s">
        <v>180</v>
      </c>
    </row>
    <row r="7" spans="1:11" x14ac:dyDescent="0.25">
      <c r="A7">
        <v>267.95999999999998</v>
      </c>
      <c r="B7">
        <v>280.17</v>
      </c>
      <c r="C7">
        <v>500.15</v>
      </c>
      <c r="D7" t="s">
        <v>180</v>
      </c>
      <c r="E7" t="s">
        <v>352</v>
      </c>
      <c r="F7">
        <v>1.1200000000000001</v>
      </c>
      <c r="G7" t="s">
        <v>196</v>
      </c>
      <c r="H7">
        <v>0</v>
      </c>
      <c r="I7">
        <v>250.15</v>
      </c>
      <c r="J7" t="s">
        <v>280</v>
      </c>
      <c r="K7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D2"/>
  <sheetViews>
    <sheetView workbookViewId="0"/>
  </sheetViews>
  <sheetFormatPr defaultRowHeight="15" x14ac:dyDescent="0.25"/>
  <cols>
    <col min="1" max="2" width="6" bestFit="1" customWidth="1"/>
    <col min="3" max="3" width="5.42578125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2.7109375" bestFit="1" customWidth="1"/>
    <col min="10" max="10" width="18.140625" bestFit="1" customWidth="1"/>
    <col min="11" max="11" width="13.140625" bestFit="1" customWidth="1"/>
    <col min="12" max="12" width="19.28515625" bestFit="1" customWidth="1"/>
    <col min="13" max="13" width="19.42578125" bestFit="1" customWidth="1"/>
    <col min="14" max="14" width="4.85546875" bestFit="1" customWidth="1"/>
    <col min="15" max="15" width="11.42578125" bestFit="1" customWidth="1"/>
    <col min="16" max="16" width="18.140625" bestFit="1" customWidth="1"/>
    <col min="17" max="17" width="8.7109375" bestFit="1" customWidth="1"/>
    <col min="18" max="18" width="14" bestFit="1" customWidth="1"/>
    <col min="19" max="19" width="16.85546875" bestFit="1" customWidth="1"/>
    <col min="20" max="20" width="5.28515625" bestFit="1" customWidth="1"/>
    <col min="21" max="21" width="10.140625" bestFit="1" customWidth="1"/>
    <col min="22" max="22" width="20.28515625" bestFit="1" customWidth="1"/>
    <col min="23" max="23" width="24.5703125" bestFit="1" customWidth="1"/>
    <col min="24" max="24" width="24.85546875" bestFit="1" customWidth="1"/>
    <col min="25" max="25" width="24.28515625" bestFit="1" customWidth="1"/>
    <col min="26" max="26" width="24.7109375" bestFit="1" customWidth="1"/>
    <col min="27" max="27" width="30.85546875" bestFit="1" customWidth="1"/>
    <col min="28" max="28" width="14.5703125" bestFit="1" customWidth="1"/>
    <col min="29" max="29" width="10.5703125" bestFit="1" customWidth="1"/>
    <col min="30" max="30" width="15" bestFit="1" customWidth="1"/>
  </cols>
  <sheetData>
    <row r="1" spans="1:30" x14ac:dyDescent="0.25">
      <c r="A1" t="s">
        <v>8</v>
      </c>
      <c r="B1" t="s">
        <v>7</v>
      </c>
      <c r="C1" t="s">
        <v>4</v>
      </c>
      <c r="D1" t="s">
        <v>373</v>
      </c>
      <c r="E1" t="s">
        <v>9</v>
      </c>
      <c r="F1" t="s">
        <v>375</v>
      </c>
      <c r="G1" t="s">
        <v>668</v>
      </c>
      <c r="H1" t="s">
        <v>729</v>
      </c>
      <c r="I1" t="s">
        <v>215</v>
      </c>
      <c r="J1" t="s">
        <v>667</v>
      </c>
      <c r="K1" t="s">
        <v>219</v>
      </c>
      <c r="L1" t="s">
        <v>238</v>
      </c>
      <c r="M1" t="s">
        <v>242</v>
      </c>
      <c r="N1" t="s">
        <v>6</v>
      </c>
      <c r="O1" t="s">
        <v>251</v>
      </c>
      <c r="P1" t="s">
        <v>10</v>
      </c>
      <c r="Q1" t="s">
        <v>213</v>
      </c>
      <c r="R1" t="s">
        <v>214</v>
      </c>
      <c r="S1" t="s">
        <v>677</v>
      </c>
      <c r="T1" t="s">
        <v>5</v>
      </c>
      <c r="U1" t="s">
        <v>730</v>
      </c>
      <c r="V1" t="s">
        <v>731</v>
      </c>
      <c r="W1" t="s">
        <v>732</v>
      </c>
      <c r="X1" t="s">
        <v>733</v>
      </c>
      <c r="Y1" t="s">
        <v>734</v>
      </c>
      <c r="Z1" t="s">
        <v>735</v>
      </c>
      <c r="AA1" t="s">
        <v>736</v>
      </c>
      <c r="AB1" t="s">
        <v>249</v>
      </c>
      <c r="AC1" t="s">
        <v>678</v>
      </c>
      <c r="AD1" t="s">
        <v>737</v>
      </c>
    </row>
    <row r="2" spans="1:30" x14ac:dyDescent="0.25">
      <c r="A2">
        <v>55.65</v>
      </c>
      <c r="B2" s="2">
        <v>45.13</v>
      </c>
      <c r="C2" s="2">
        <v>79.900000000000006</v>
      </c>
      <c r="D2">
        <v>38.18</v>
      </c>
      <c r="E2">
        <v>60.65</v>
      </c>
      <c r="F2">
        <v>63.38</v>
      </c>
      <c r="G2" s="2">
        <v>60.81</v>
      </c>
      <c r="H2">
        <v>0</v>
      </c>
      <c r="I2">
        <v>5.33</v>
      </c>
      <c r="J2">
        <v>5.33</v>
      </c>
      <c r="K2">
        <v>1205.06</v>
      </c>
      <c r="L2" s="2">
        <v>1144.25</v>
      </c>
      <c r="M2" s="2">
        <v>1151.5999999999999</v>
      </c>
      <c r="N2">
        <v>0</v>
      </c>
      <c r="O2" s="2">
        <v>1349.18</v>
      </c>
      <c r="P2">
        <v>136.30000000000001</v>
      </c>
      <c r="Q2">
        <v>5.4930000000000003</v>
      </c>
      <c r="R2">
        <v>5.4930000000000003</v>
      </c>
      <c r="S2">
        <v>0.46</v>
      </c>
      <c r="T2" s="2">
        <v>79.900000000000006</v>
      </c>
      <c r="U2">
        <v>0</v>
      </c>
      <c r="V2">
        <v>7.35</v>
      </c>
      <c r="W2">
        <v>0.4</v>
      </c>
      <c r="X2">
        <v>0.46</v>
      </c>
      <c r="Y2">
        <v>0</v>
      </c>
      <c r="Z2">
        <v>0.46</v>
      </c>
      <c r="AA2">
        <v>0</v>
      </c>
      <c r="AB2">
        <v>0</v>
      </c>
      <c r="AC2" s="2">
        <v>1401</v>
      </c>
      <c r="AD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K157"/>
  <sheetViews>
    <sheetView tabSelected="1" workbookViewId="0">
      <selection activeCell="O11" sqref="O11"/>
    </sheetView>
  </sheetViews>
  <sheetFormatPr defaultRowHeight="15" x14ac:dyDescent="0.25"/>
  <cols>
    <col min="1" max="1" width="27" bestFit="1" customWidth="1"/>
    <col min="2" max="2" width="37" bestFit="1" customWidth="1"/>
    <col min="3" max="3" width="27" bestFit="1" customWidth="1"/>
    <col min="4" max="4" width="7" bestFit="1" customWidth="1"/>
    <col min="5" max="5" width="24.7109375" bestFit="1" customWidth="1"/>
    <col min="6" max="6" width="10.140625" bestFit="1" customWidth="1"/>
    <col min="7" max="7" width="7" bestFit="1" customWidth="1"/>
    <col min="8" max="8" width="24.140625" bestFit="1" customWidth="1"/>
    <col min="9" max="9" width="16" bestFit="1" customWidth="1"/>
    <col min="10" max="11" width="9.140625" style="3"/>
  </cols>
  <sheetData>
    <row r="1" spans="1:11" x14ac:dyDescent="0.25">
      <c r="A1" t="s">
        <v>367</v>
      </c>
      <c r="B1" t="s">
        <v>159</v>
      </c>
      <c r="C1" t="s">
        <v>738</v>
      </c>
      <c r="D1" t="s">
        <v>739</v>
      </c>
      <c r="E1" t="s">
        <v>740</v>
      </c>
      <c r="F1" t="s">
        <v>154</v>
      </c>
      <c r="G1" t="s">
        <v>741</v>
      </c>
      <c r="H1" t="s">
        <v>742</v>
      </c>
      <c r="I1" t="s">
        <v>177</v>
      </c>
      <c r="J1" s="3" t="s">
        <v>870</v>
      </c>
      <c r="K1" s="3" t="s">
        <v>871</v>
      </c>
    </row>
    <row r="2" spans="1:11" x14ac:dyDescent="0.25">
      <c r="A2" t="s">
        <v>279</v>
      </c>
      <c r="B2" t="s">
        <v>188</v>
      </c>
      <c r="C2" t="s">
        <v>193</v>
      </c>
      <c r="D2">
        <v>0</v>
      </c>
      <c r="E2">
        <v>0</v>
      </c>
      <c r="F2" s="1">
        <v>45849</v>
      </c>
      <c r="G2">
        <v>265.27999999999997</v>
      </c>
      <c r="H2">
        <v>265.27999999999997</v>
      </c>
      <c r="I2" s="2" t="s">
        <v>201</v>
      </c>
      <c r="J2" s="3">
        <f>E2-D2</f>
        <v>0</v>
      </c>
      <c r="K2" s="3">
        <f>H2-G2</f>
        <v>0</v>
      </c>
    </row>
    <row r="3" spans="1:11" x14ac:dyDescent="0.25">
      <c r="A3" t="s">
        <v>298</v>
      </c>
      <c r="B3" t="s">
        <v>188</v>
      </c>
      <c r="C3" t="s">
        <v>193</v>
      </c>
      <c r="D3">
        <v>0</v>
      </c>
      <c r="E3">
        <v>0</v>
      </c>
      <c r="F3" s="1">
        <v>45849</v>
      </c>
      <c r="G3">
        <v>265.48</v>
      </c>
      <c r="H3">
        <v>265.48</v>
      </c>
      <c r="I3" s="2" t="s">
        <v>201</v>
      </c>
      <c r="J3" s="3">
        <f t="shared" ref="J3:J66" si="0">E3-D3</f>
        <v>0</v>
      </c>
      <c r="K3" s="3">
        <f t="shared" ref="K3:K66" si="1">H3-G3</f>
        <v>0</v>
      </c>
    </row>
    <row r="4" spans="1:11" x14ac:dyDescent="0.25">
      <c r="A4" t="s">
        <v>313</v>
      </c>
      <c r="B4" t="s">
        <v>188</v>
      </c>
      <c r="C4" t="s">
        <v>193</v>
      </c>
      <c r="D4">
        <v>0</v>
      </c>
      <c r="E4">
        <v>0</v>
      </c>
      <c r="F4" s="1">
        <v>45849</v>
      </c>
      <c r="G4">
        <v>106.43</v>
      </c>
      <c r="H4">
        <v>106.43</v>
      </c>
      <c r="I4" s="2" t="s">
        <v>201</v>
      </c>
      <c r="J4" s="3">
        <f t="shared" si="0"/>
        <v>0</v>
      </c>
      <c r="K4" s="3">
        <f t="shared" si="1"/>
        <v>0</v>
      </c>
    </row>
    <row r="5" spans="1:11" x14ac:dyDescent="0.25">
      <c r="A5" t="s">
        <v>332</v>
      </c>
      <c r="B5" t="s">
        <v>188</v>
      </c>
      <c r="C5" t="s">
        <v>193</v>
      </c>
      <c r="D5">
        <v>0</v>
      </c>
      <c r="E5">
        <v>0</v>
      </c>
      <c r="F5" s="1">
        <v>45849</v>
      </c>
      <c r="G5">
        <v>239.1</v>
      </c>
      <c r="H5">
        <v>239.1</v>
      </c>
      <c r="I5" s="2" t="s">
        <v>201</v>
      </c>
      <c r="J5" s="3">
        <f t="shared" si="0"/>
        <v>0</v>
      </c>
      <c r="K5" s="3">
        <f t="shared" si="1"/>
        <v>0</v>
      </c>
    </row>
    <row r="6" spans="1:11" x14ac:dyDescent="0.25">
      <c r="A6" t="s">
        <v>196</v>
      </c>
      <c r="B6" t="s">
        <v>188</v>
      </c>
      <c r="C6" t="s">
        <v>193</v>
      </c>
      <c r="D6">
        <v>0</v>
      </c>
      <c r="E6">
        <v>0</v>
      </c>
      <c r="F6" s="1">
        <v>45849</v>
      </c>
      <c r="G6">
        <v>267.95999999999998</v>
      </c>
      <c r="H6">
        <v>267.95999999999998</v>
      </c>
      <c r="I6" s="2" t="s">
        <v>201</v>
      </c>
      <c r="J6" s="3">
        <f t="shared" si="0"/>
        <v>0</v>
      </c>
      <c r="K6" s="3">
        <f t="shared" si="1"/>
        <v>0</v>
      </c>
    </row>
    <row r="7" spans="1:11" x14ac:dyDescent="0.25">
      <c r="A7" t="s">
        <v>377</v>
      </c>
      <c r="B7" t="s">
        <v>188</v>
      </c>
      <c r="C7" t="s">
        <v>193</v>
      </c>
      <c r="D7">
        <v>0</v>
      </c>
      <c r="E7">
        <v>0</v>
      </c>
      <c r="F7" s="1">
        <v>45849</v>
      </c>
      <c r="G7">
        <v>18.54</v>
      </c>
      <c r="H7">
        <v>18.54</v>
      </c>
      <c r="I7" s="2" t="s">
        <v>201</v>
      </c>
      <c r="J7" s="3">
        <f t="shared" si="0"/>
        <v>0</v>
      </c>
      <c r="K7" s="3">
        <f t="shared" si="1"/>
        <v>0</v>
      </c>
    </row>
    <row r="8" spans="1:11" x14ac:dyDescent="0.25">
      <c r="A8" t="s">
        <v>384</v>
      </c>
      <c r="B8" t="s">
        <v>188</v>
      </c>
      <c r="C8" t="s">
        <v>193</v>
      </c>
      <c r="D8">
        <v>0</v>
      </c>
      <c r="E8">
        <v>0</v>
      </c>
      <c r="F8" s="1">
        <v>45849</v>
      </c>
      <c r="G8">
        <v>19.64</v>
      </c>
      <c r="H8">
        <v>19.64</v>
      </c>
      <c r="I8" s="2" t="s">
        <v>201</v>
      </c>
      <c r="J8" s="3">
        <f t="shared" si="0"/>
        <v>0</v>
      </c>
      <c r="K8" s="3">
        <f t="shared" si="1"/>
        <v>0</v>
      </c>
    </row>
    <row r="9" spans="1:11" x14ac:dyDescent="0.25">
      <c r="A9" t="s">
        <v>193</v>
      </c>
      <c r="B9" t="s">
        <v>188</v>
      </c>
      <c r="C9" t="s">
        <v>391</v>
      </c>
      <c r="D9">
        <v>0</v>
      </c>
      <c r="E9">
        <v>0</v>
      </c>
      <c r="F9" s="1">
        <v>45849</v>
      </c>
      <c r="G9">
        <v>18.77</v>
      </c>
      <c r="H9">
        <v>18.77</v>
      </c>
      <c r="I9" s="2" t="s">
        <v>201</v>
      </c>
      <c r="J9" s="3">
        <f t="shared" si="0"/>
        <v>0</v>
      </c>
      <c r="K9" s="3">
        <f t="shared" si="1"/>
        <v>0</v>
      </c>
    </row>
    <row r="10" spans="1:11" x14ac:dyDescent="0.25">
      <c r="A10" t="s">
        <v>193</v>
      </c>
      <c r="B10" t="s">
        <v>188</v>
      </c>
      <c r="C10" t="s">
        <v>397</v>
      </c>
      <c r="D10">
        <v>0</v>
      </c>
      <c r="E10">
        <v>0</v>
      </c>
      <c r="F10" s="1">
        <v>45849</v>
      </c>
      <c r="G10">
        <v>22.26</v>
      </c>
      <c r="H10">
        <v>22.26</v>
      </c>
      <c r="I10" s="2" t="s">
        <v>201</v>
      </c>
      <c r="J10" s="3">
        <f t="shared" si="0"/>
        <v>0</v>
      </c>
      <c r="K10" s="3">
        <f t="shared" si="1"/>
        <v>0</v>
      </c>
    </row>
    <row r="11" spans="1:11" x14ac:dyDescent="0.25">
      <c r="A11" t="s">
        <v>193</v>
      </c>
      <c r="B11" t="s">
        <v>188</v>
      </c>
      <c r="C11" t="s">
        <v>404</v>
      </c>
      <c r="D11">
        <v>0</v>
      </c>
      <c r="E11">
        <v>0</v>
      </c>
      <c r="F11" s="1">
        <v>45849</v>
      </c>
      <c r="G11">
        <v>22.35</v>
      </c>
      <c r="H11">
        <v>22.35</v>
      </c>
      <c r="I11" s="2" t="s">
        <v>201</v>
      </c>
      <c r="J11" s="3">
        <f t="shared" si="0"/>
        <v>0</v>
      </c>
      <c r="K11" s="3">
        <f t="shared" si="1"/>
        <v>0</v>
      </c>
    </row>
    <row r="12" spans="1:11" x14ac:dyDescent="0.25">
      <c r="A12" t="s">
        <v>413</v>
      </c>
      <c r="B12" t="s">
        <v>188</v>
      </c>
      <c r="C12" t="s">
        <v>193</v>
      </c>
      <c r="D12">
        <v>0</v>
      </c>
      <c r="E12">
        <v>0</v>
      </c>
      <c r="F12" s="1">
        <v>45849</v>
      </c>
      <c r="G12">
        <v>1.49</v>
      </c>
      <c r="H12">
        <v>1.49</v>
      </c>
      <c r="I12" s="2" t="s">
        <v>201</v>
      </c>
      <c r="J12" s="3">
        <f t="shared" si="0"/>
        <v>0</v>
      </c>
      <c r="K12" s="3">
        <f t="shared" si="1"/>
        <v>0</v>
      </c>
    </row>
    <row r="13" spans="1:11" x14ac:dyDescent="0.25">
      <c r="A13" t="s">
        <v>423</v>
      </c>
      <c r="B13" t="s">
        <v>188</v>
      </c>
      <c r="C13" t="s">
        <v>193</v>
      </c>
      <c r="D13">
        <v>0</v>
      </c>
      <c r="E13">
        <v>0</v>
      </c>
      <c r="F13" s="1">
        <v>45849</v>
      </c>
      <c r="G13">
        <v>1.45</v>
      </c>
      <c r="H13">
        <v>1.45</v>
      </c>
      <c r="I13" s="2" t="s">
        <v>201</v>
      </c>
      <c r="J13" s="3">
        <f t="shared" si="0"/>
        <v>0</v>
      </c>
      <c r="K13" s="3">
        <f t="shared" si="1"/>
        <v>0</v>
      </c>
    </row>
    <row r="14" spans="1:11" x14ac:dyDescent="0.25">
      <c r="A14" t="s">
        <v>429</v>
      </c>
      <c r="B14" t="s">
        <v>188</v>
      </c>
      <c r="C14" t="s">
        <v>193</v>
      </c>
      <c r="D14">
        <v>0</v>
      </c>
      <c r="E14">
        <v>0</v>
      </c>
      <c r="F14" s="1">
        <v>45849</v>
      </c>
      <c r="G14">
        <v>1.46</v>
      </c>
      <c r="H14">
        <v>1.46</v>
      </c>
      <c r="I14" s="2" t="s">
        <v>201</v>
      </c>
      <c r="J14" s="3">
        <f t="shared" si="0"/>
        <v>0</v>
      </c>
      <c r="K14" s="3">
        <f t="shared" si="1"/>
        <v>0</v>
      </c>
    </row>
    <row r="15" spans="1:11" x14ac:dyDescent="0.25">
      <c r="A15" t="s">
        <v>437</v>
      </c>
      <c r="B15" t="s">
        <v>188</v>
      </c>
      <c r="C15" t="s">
        <v>193</v>
      </c>
      <c r="D15">
        <v>0</v>
      </c>
      <c r="E15">
        <v>0</v>
      </c>
      <c r="F15" s="1">
        <v>45849</v>
      </c>
      <c r="G15">
        <v>1.47</v>
      </c>
      <c r="H15">
        <v>1.47</v>
      </c>
      <c r="I15" s="2" t="s">
        <v>201</v>
      </c>
      <c r="J15" s="3">
        <f t="shared" si="0"/>
        <v>0</v>
      </c>
      <c r="K15" s="3">
        <f t="shared" si="1"/>
        <v>0</v>
      </c>
    </row>
    <row r="16" spans="1:11" x14ac:dyDescent="0.25">
      <c r="A16" t="s">
        <v>447</v>
      </c>
      <c r="B16" t="s">
        <v>188</v>
      </c>
      <c r="C16" t="s">
        <v>193</v>
      </c>
      <c r="D16">
        <v>0</v>
      </c>
      <c r="E16">
        <v>0</v>
      </c>
      <c r="F16" s="1">
        <v>45849</v>
      </c>
      <c r="G16">
        <v>1.48</v>
      </c>
      <c r="H16">
        <v>1.48</v>
      </c>
      <c r="I16" s="2" t="s">
        <v>201</v>
      </c>
      <c r="J16" s="3">
        <f t="shared" si="0"/>
        <v>0</v>
      </c>
      <c r="K16" s="3">
        <f t="shared" si="1"/>
        <v>0</v>
      </c>
    </row>
    <row r="17" spans="1:11" x14ac:dyDescent="0.25">
      <c r="A17" t="s">
        <v>193</v>
      </c>
      <c r="B17" t="s">
        <v>188</v>
      </c>
      <c r="C17" t="s">
        <v>487</v>
      </c>
      <c r="D17">
        <v>0</v>
      </c>
      <c r="E17">
        <v>0</v>
      </c>
      <c r="F17" s="1">
        <v>45849</v>
      </c>
      <c r="G17">
        <v>11.11</v>
      </c>
      <c r="H17">
        <v>11.11</v>
      </c>
      <c r="I17" s="2" t="s">
        <v>201</v>
      </c>
      <c r="J17" s="3">
        <f t="shared" si="0"/>
        <v>0</v>
      </c>
      <c r="K17" s="3">
        <f t="shared" si="1"/>
        <v>0</v>
      </c>
    </row>
    <row r="18" spans="1:11" x14ac:dyDescent="0.25">
      <c r="A18" t="s">
        <v>193</v>
      </c>
      <c r="B18" t="s">
        <v>188</v>
      </c>
      <c r="C18" t="s">
        <v>493</v>
      </c>
      <c r="D18">
        <v>0</v>
      </c>
      <c r="E18">
        <v>0</v>
      </c>
      <c r="F18" s="1">
        <v>45849</v>
      </c>
      <c r="G18">
        <v>11.12</v>
      </c>
      <c r="H18">
        <v>11.12</v>
      </c>
      <c r="I18" s="2" t="s">
        <v>201</v>
      </c>
      <c r="J18" s="3">
        <f t="shared" si="0"/>
        <v>0</v>
      </c>
      <c r="K18" s="3">
        <f t="shared" si="1"/>
        <v>0</v>
      </c>
    </row>
    <row r="19" spans="1:11" x14ac:dyDescent="0.25">
      <c r="A19" t="s">
        <v>193</v>
      </c>
      <c r="B19" t="s">
        <v>188</v>
      </c>
      <c r="C19" t="s">
        <v>499</v>
      </c>
      <c r="D19">
        <v>0</v>
      </c>
      <c r="E19">
        <v>0</v>
      </c>
      <c r="F19" s="1">
        <v>45849</v>
      </c>
      <c r="G19">
        <v>11.13</v>
      </c>
      <c r="H19">
        <v>11.13</v>
      </c>
      <c r="I19" s="2" t="s">
        <v>201</v>
      </c>
      <c r="J19" s="3">
        <f t="shared" si="0"/>
        <v>0</v>
      </c>
      <c r="K19" s="3">
        <f t="shared" si="1"/>
        <v>0</v>
      </c>
    </row>
    <row r="20" spans="1:11" x14ac:dyDescent="0.25">
      <c r="A20" t="s">
        <v>193</v>
      </c>
      <c r="B20" t="s">
        <v>188</v>
      </c>
      <c r="C20" t="s">
        <v>505</v>
      </c>
      <c r="D20">
        <v>0</v>
      </c>
      <c r="E20">
        <v>0</v>
      </c>
      <c r="F20" s="1">
        <v>45849</v>
      </c>
      <c r="G20">
        <v>11.14</v>
      </c>
      <c r="H20">
        <v>11.14</v>
      </c>
      <c r="I20" s="2" t="s">
        <v>201</v>
      </c>
      <c r="J20" s="3">
        <f t="shared" si="0"/>
        <v>0</v>
      </c>
      <c r="K20" s="3">
        <f t="shared" si="1"/>
        <v>0</v>
      </c>
    </row>
    <row r="21" spans="1:11" x14ac:dyDescent="0.25">
      <c r="A21" t="s">
        <v>193</v>
      </c>
      <c r="B21" t="s">
        <v>188</v>
      </c>
      <c r="C21" t="s">
        <v>511</v>
      </c>
      <c r="D21">
        <v>0</v>
      </c>
      <c r="E21">
        <v>0</v>
      </c>
      <c r="F21" s="1">
        <v>45849</v>
      </c>
      <c r="G21">
        <v>11.15</v>
      </c>
      <c r="H21">
        <v>11.15</v>
      </c>
      <c r="I21" s="2" t="s">
        <v>201</v>
      </c>
      <c r="J21" s="3">
        <f t="shared" si="0"/>
        <v>0</v>
      </c>
      <c r="K21" s="3">
        <f t="shared" si="1"/>
        <v>0</v>
      </c>
    </row>
    <row r="22" spans="1:11" x14ac:dyDescent="0.25">
      <c r="A22" t="s">
        <v>528</v>
      </c>
      <c r="B22" t="s">
        <v>188</v>
      </c>
      <c r="C22" t="s">
        <v>526</v>
      </c>
      <c r="D22">
        <v>0</v>
      </c>
      <c r="E22">
        <v>0</v>
      </c>
      <c r="F22" s="1">
        <v>45849</v>
      </c>
      <c r="G22">
        <v>1.21</v>
      </c>
      <c r="H22">
        <v>1.21</v>
      </c>
      <c r="I22" s="2" t="s">
        <v>201</v>
      </c>
      <c r="J22" s="3">
        <f t="shared" si="0"/>
        <v>0</v>
      </c>
      <c r="K22" s="3">
        <f t="shared" si="1"/>
        <v>0</v>
      </c>
    </row>
    <row r="23" spans="1:11" x14ac:dyDescent="0.25">
      <c r="A23" s="2" t="s">
        <v>193</v>
      </c>
      <c r="B23" s="2" t="s">
        <v>188</v>
      </c>
      <c r="C23" s="2" t="s">
        <v>526</v>
      </c>
      <c r="D23" s="2">
        <v>0</v>
      </c>
      <c r="E23" s="2">
        <v>0</v>
      </c>
      <c r="F23" s="4">
        <v>45849</v>
      </c>
      <c r="G23" s="2">
        <v>12.11</v>
      </c>
      <c r="H23" s="2">
        <v>13.32</v>
      </c>
      <c r="I23" s="2" t="s">
        <v>201</v>
      </c>
      <c r="J23" s="3">
        <f t="shared" si="0"/>
        <v>0</v>
      </c>
      <c r="K23" s="3">
        <f t="shared" si="1"/>
        <v>1.2100000000000009</v>
      </c>
    </row>
    <row r="24" spans="1:11" x14ac:dyDescent="0.25">
      <c r="A24" t="s">
        <v>536</v>
      </c>
      <c r="B24" t="s">
        <v>188</v>
      </c>
      <c r="C24" t="s">
        <v>534</v>
      </c>
      <c r="D24">
        <v>0</v>
      </c>
      <c r="E24">
        <v>0</v>
      </c>
      <c r="F24" s="1">
        <v>45849</v>
      </c>
      <c r="G24">
        <v>1.22</v>
      </c>
      <c r="H24">
        <v>1.22</v>
      </c>
      <c r="I24" s="2" t="s">
        <v>201</v>
      </c>
      <c r="J24" s="3">
        <f t="shared" si="0"/>
        <v>0</v>
      </c>
      <c r="K24" s="3">
        <f t="shared" si="1"/>
        <v>0</v>
      </c>
    </row>
    <row r="25" spans="1:11" x14ac:dyDescent="0.25">
      <c r="A25" s="2" t="s">
        <v>193</v>
      </c>
      <c r="B25" s="2" t="s">
        <v>188</v>
      </c>
      <c r="C25" s="2" t="s">
        <v>534</v>
      </c>
      <c r="D25" s="2">
        <v>0</v>
      </c>
      <c r="E25" s="2">
        <v>0</v>
      </c>
      <c r="F25" s="4">
        <v>45849</v>
      </c>
      <c r="G25" s="2">
        <v>12.12</v>
      </c>
      <c r="H25" s="2">
        <v>13.34</v>
      </c>
      <c r="I25" s="2" t="s">
        <v>201</v>
      </c>
      <c r="J25" s="3">
        <f t="shared" si="0"/>
        <v>0</v>
      </c>
      <c r="K25" s="3">
        <f t="shared" si="1"/>
        <v>1.2200000000000006</v>
      </c>
    </row>
    <row r="26" spans="1:11" x14ac:dyDescent="0.25">
      <c r="A26" t="s">
        <v>544</v>
      </c>
      <c r="B26" t="s">
        <v>188</v>
      </c>
      <c r="C26" t="s">
        <v>542</v>
      </c>
      <c r="D26">
        <v>0</v>
      </c>
      <c r="E26">
        <v>0</v>
      </c>
      <c r="F26" s="1">
        <v>45849</v>
      </c>
      <c r="G26">
        <v>1.23</v>
      </c>
      <c r="H26">
        <v>1.23</v>
      </c>
      <c r="I26" s="2" t="s">
        <v>201</v>
      </c>
      <c r="J26" s="3">
        <f t="shared" si="0"/>
        <v>0</v>
      </c>
      <c r="K26" s="3">
        <f t="shared" si="1"/>
        <v>0</v>
      </c>
    </row>
    <row r="27" spans="1:11" x14ac:dyDescent="0.25">
      <c r="A27" s="2" t="s">
        <v>193</v>
      </c>
      <c r="B27" s="2" t="s">
        <v>188</v>
      </c>
      <c r="C27" s="2" t="s">
        <v>542</v>
      </c>
      <c r="D27" s="2">
        <v>0</v>
      </c>
      <c r="E27" s="2">
        <v>0</v>
      </c>
      <c r="F27" s="4">
        <v>45849</v>
      </c>
      <c r="G27" s="2">
        <v>12.13</v>
      </c>
      <c r="H27" s="2">
        <v>13.36</v>
      </c>
      <c r="I27" s="2" t="s">
        <v>201</v>
      </c>
      <c r="J27" s="3">
        <f t="shared" si="0"/>
        <v>0</v>
      </c>
      <c r="K27" s="3">
        <f t="shared" si="1"/>
        <v>1.2299999999999986</v>
      </c>
    </row>
    <row r="28" spans="1:11" x14ac:dyDescent="0.25">
      <c r="A28" t="s">
        <v>552</v>
      </c>
      <c r="B28" t="s">
        <v>188</v>
      </c>
      <c r="C28" t="s">
        <v>550</v>
      </c>
      <c r="D28">
        <v>0</v>
      </c>
      <c r="E28">
        <v>0</v>
      </c>
      <c r="F28" s="1">
        <v>45849</v>
      </c>
      <c r="G28">
        <v>1.24</v>
      </c>
      <c r="H28">
        <v>1.24</v>
      </c>
      <c r="I28" s="2" t="s">
        <v>201</v>
      </c>
      <c r="J28" s="3">
        <f t="shared" si="0"/>
        <v>0</v>
      </c>
      <c r="K28" s="3">
        <f t="shared" si="1"/>
        <v>0</v>
      </c>
    </row>
    <row r="29" spans="1:11" x14ac:dyDescent="0.25">
      <c r="A29" s="2" t="s">
        <v>193</v>
      </c>
      <c r="B29" s="2" t="s">
        <v>188</v>
      </c>
      <c r="C29" s="2" t="s">
        <v>550</v>
      </c>
      <c r="D29" s="2">
        <v>0</v>
      </c>
      <c r="E29" s="2">
        <v>0</v>
      </c>
      <c r="F29" s="4">
        <v>45849</v>
      </c>
      <c r="G29" s="2">
        <v>12.14</v>
      </c>
      <c r="H29" s="2">
        <v>13.38</v>
      </c>
      <c r="I29" s="2" t="s">
        <v>201</v>
      </c>
      <c r="J29" s="3">
        <f t="shared" si="0"/>
        <v>0</v>
      </c>
      <c r="K29" s="3">
        <f t="shared" si="1"/>
        <v>1.2400000000000002</v>
      </c>
    </row>
    <row r="30" spans="1:11" x14ac:dyDescent="0.25">
      <c r="A30" t="s">
        <v>560</v>
      </c>
      <c r="B30" t="s">
        <v>188</v>
      </c>
      <c r="C30" t="s">
        <v>558</v>
      </c>
      <c r="D30">
        <v>0</v>
      </c>
      <c r="E30">
        <v>0</v>
      </c>
      <c r="F30" s="1">
        <v>45849</v>
      </c>
      <c r="G30">
        <v>1.25</v>
      </c>
      <c r="H30">
        <v>1.25</v>
      </c>
      <c r="I30" s="2" t="s">
        <v>201</v>
      </c>
      <c r="J30" s="3">
        <f t="shared" si="0"/>
        <v>0</v>
      </c>
      <c r="K30" s="3">
        <f t="shared" si="1"/>
        <v>0</v>
      </c>
    </row>
    <row r="31" spans="1:11" x14ac:dyDescent="0.25">
      <c r="A31" s="2" t="s">
        <v>193</v>
      </c>
      <c r="B31" s="2" t="s">
        <v>188</v>
      </c>
      <c r="C31" s="2" t="s">
        <v>558</v>
      </c>
      <c r="D31" s="2">
        <v>0</v>
      </c>
      <c r="E31" s="2">
        <v>0</v>
      </c>
      <c r="F31" s="4">
        <v>45849</v>
      </c>
      <c r="G31" s="2">
        <v>12.15</v>
      </c>
      <c r="H31" s="2">
        <v>13.4</v>
      </c>
      <c r="I31" s="2" t="s">
        <v>201</v>
      </c>
      <c r="J31" s="3">
        <f t="shared" si="0"/>
        <v>0</v>
      </c>
      <c r="K31" s="3">
        <f t="shared" si="1"/>
        <v>1.25</v>
      </c>
    </row>
    <row r="32" spans="1:11" x14ac:dyDescent="0.25">
      <c r="A32" t="s">
        <v>193</v>
      </c>
      <c r="B32" t="s">
        <v>188</v>
      </c>
      <c r="C32" t="s">
        <v>568</v>
      </c>
      <c r="D32">
        <v>0</v>
      </c>
      <c r="E32">
        <v>0</v>
      </c>
      <c r="F32" s="1">
        <v>45849</v>
      </c>
      <c r="G32">
        <v>13.11</v>
      </c>
      <c r="H32">
        <v>13.11</v>
      </c>
      <c r="I32" s="2" t="s">
        <v>201</v>
      </c>
      <c r="J32" s="3">
        <f t="shared" si="0"/>
        <v>0</v>
      </c>
      <c r="K32" s="3">
        <f t="shared" si="1"/>
        <v>0</v>
      </c>
    </row>
    <row r="33" spans="1:11" x14ac:dyDescent="0.25">
      <c r="A33" t="s">
        <v>568</v>
      </c>
      <c r="B33" t="s">
        <v>188</v>
      </c>
      <c r="C33" t="s">
        <v>567</v>
      </c>
      <c r="D33">
        <v>0</v>
      </c>
      <c r="E33">
        <v>0</v>
      </c>
      <c r="F33" s="1">
        <v>45849</v>
      </c>
      <c r="G33">
        <v>13.11</v>
      </c>
      <c r="H33">
        <v>13.11</v>
      </c>
      <c r="I33" s="2" t="s">
        <v>201</v>
      </c>
      <c r="J33" s="3">
        <f t="shared" si="0"/>
        <v>0</v>
      </c>
      <c r="K33" s="3">
        <f t="shared" si="1"/>
        <v>0</v>
      </c>
    </row>
    <row r="34" spans="1:11" x14ac:dyDescent="0.25">
      <c r="A34" t="s">
        <v>193</v>
      </c>
      <c r="B34" t="s">
        <v>188</v>
      </c>
      <c r="C34" t="s">
        <v>568</v>
      </c>
      <c r="D34">
        <v>0</v>
      </c>
      <c r="E34">
        <v>0</v>
      </c>
      <c r="F34" s="1">
        <v>45849</v>
      </c>
      <c r="G34">
        <v>13.12</v>
      </c>
      <c r="H34">
        <v>13.12</v>
      </c>
      <c r="I34" s="2" t="s">
        <v>201</v>
      </c>
      <c r="J34" s="3">
        <f t="shared" si="0"/>
        <v>0</v>
      </c>
      <c r="K34" s="3">
        <f t="shared" si="1"/>
        <v>0</v>
      </c>
    </row>
    <row r="35" spans="1:11" x14ac:dyDescent="0.25">
      <c r="A35" t="s">
        <v>568</v>
      </c>
      <c r="B35" t="s">
        <v>188</v>
      </c>
      <c r="C35" t="s">
        <v>575</v>
      </c>
      <c r="D35">
        <v>0</v>
      </c>
      <c r="E35">
        <v>0</v>
      </c>
      <c r="F35" s="1">
        <v>45849</v>
      </c>
      <c r="G35">
        <v>13.12</v>
      </c>
      <c r="H35">
        <v>13.12</v>
      </c>
      <c r="I35" s="2" t="s">
        <v>201</v>
      </c>
      <c r="J35" s="3">
        <f t="shared" si="0"/>
        <v>0</v>
      </c>
      <c r="K35" s="3">
        <f t="shared" si="1"/>
        <v>0</v>
      </c>
    </row>
    <row r="36" spans="1:11" x14ac:dyDescent="0.25">
      <c r="A36" t="s">
        <v>193</v>
      </c>
      <c r="B36" t="s">
        <v>188</v>
      </c>
      <c r="C36" t="s">
        <v>568</v>
      </c>
      <c r="D36">
        <v>0</v>
      </c>
      <c r="E36">
        <v>0</v>
      </c>
      <c r="F36" s="1">
        <v>45849</v>
      </c>
      <c r="G36">
        <v>13.13</v>
      </c>
      <c r="H36">
        <v>13.13</v>
      </c>
      <c r="I36" s="2" t="s">
        <v>201</v>
      </c>
      <c r="J36" s="3">
        <f t="shared" si="0"/>
        <v>0</v>
      </c>
      <c r="K36" s="3">
        <f t="shared" si="1"/>
        <v>0</v>
      </c>
    </row>
    <row r="37" spans="1:11" x14ac:dyDescent="0.25">
      <c r="A37" t="s">
        <v>568</v>
      </c>
      <c r="B37" t="s">
        <v>188</v>
      </c>
      <c r="C37" t="s">
        <v>582</v>
      </c>
      <c r="D37">
        <v>0</v>
      </c>
      <c r="E37">
        <v>0</v>
      </c>
      <c r="F37" s="1">
        <v>45849</v>
      </c>
      <c r="G37">
        <v>13.13</v>
      </c>
      <c r="H37">
        <v>13.13</v>
      </c>
      <c r="I37" s="2" t="s">
        <v>201</v>
      </c>
      <c r="J37" s="3">
        <f t="shared" si="0"/>
        <v>0</v>
      </c>
      <c r="K37" s="3">
        <f t="shared" si="1"/>
        <v>0</v>
      </c>
    </row>
    <row r="38" spans="1:11" x14ac:dyDescent="0.25">
      <c r="A38" t="s">
        <v>193</v>
      </c>
      <c r="B38" t="s">
        <v>188</v>
      </c>
      <c r="C38" t="s">
        <v>568</v>
      </c>
      <c r="D38">
        <v>0</v>
      </c>
      <c r="E38">
        <v>0</v>
      </c>
      <c r="F38" s="1">
        <v>45849</v>
      </c>
      <c r="G38">
        <v>13.14</v>
      </c>
      <c r="H38">
        <v>13.14</v>
      </c>
      <c r="I38" s="2" t="s">
        <v>201</v>
      </c>
      <c r="J38" s="3">
        <f t="shared" si="0"/>
        <v>0</v>
      </c>
      <c r="K38" s="3">
        <f t="shared" si="1"/>
        <v>0</v>
      </c>
    </row>
    <row r="39" spans="1:11" x14ac:dyDescent="0.25">
      <c r="A39" t="s">
        <v>568</v>
      </c>
      <c r="B39" t="s">
        <v>188</v>
      </c>
      <c r="C39" t="s">
        <v>589</v>
      </c>
      <c r="D39">
        <v>0</v>
      </c>
      <c r="E39">
        <v>0</v>
      </c>
      <c r="F39" s="1">
        <v>45849</v>
      </c>
      <c r="G39">
        <v>13.14</v>
      </c>
      <c r="H39">
        <v>13.14</v>
      </c>
      <c r="I39" s="2" t="s">
        <v>201</v>
      </c>
      <c r="J39" s="3">
        <f t="shared" si="0"/>
        <v>0</v>
      </c>
      <c r="K39" s="3">
        <f t="shared" si="1"/>
        <v>0</v>
      </c>
    </row>
    <row r="40" spans="1:11" x14ac:dyDescent="0.25">
      <c r="A40" t="s">
        <v>193</v>
      </c>
      <c r="B40" t="s">
        <v>188</v>
      </c>
      <c r="C40" t="s">
        <v>568</v>
      </c>
      <c r="D40">
        <v>0</v>
      </c>
      <c r="E40">
        <v>0</v>
      </c>
      <c r="F40" s="1">
        <v>45849</v>
      </c>
      <c r="G40">
        <v>13.15</v>
      </c>
      <c r="H40">
        <v>13.15</v>
      </c>
      <c r="I40" s="2" t="s">
        <v>201</v>
      </c>
      <c r="J40" s="3">
        <f t="shared" si="0"/>
        <v>0</v>
      </c>
      <c r="K40" s="3">
        <f t="shared" si="1"/>
        <v>0</v>
      </c>
    </row>
    <row r="41" spans="1:11" x14ac:dyDescent="0.25">
      <c r="A41" t="s">
        <v>568</v>
      </c>
      <c r="B41" t="s">
        <v>188</v>
      </c>
      <c r="C41" t="s">
        <v>596</v>
      </c>
      <c r="D41">
        <v>0</v>
      </c>
      <c r="E41">
        <v>0</v>
      </c>
      <c r="F41" s="1">
        <v>45849</v>
      </c>
      <c r="G41">
        <v>13.15</v>
      </c>
      <c r="H41">
        <v>13.15</v>
      </c>
      <c r="I41" s="2" t="s">
        <v>201</v>
      </c>
      <c r="J41" s="3">
        <f t="shared" si="0"/>
        <v>0</v>
      </c>
      <c r="K41" s="3">
        <f t="shared" si="1"/>
        <v>0</v>
      </c>
    </row>
    <row r="42" spans="1:11" x14ac:dyDescent="0.25">
      <c r="A42" t="s">
        <v>682</v>
      </c>
      <c r="B42" t="s">
        <v>188</v>
      </c>
      <c r="C42" t="s">
        <v>193</v>
      </c>
      <c r="D42">
        <v>0</v>
      </c>
      <c r="E42">
        <v>0</v>
      </c>
      <c r="F42" s="1">
        <v>45849</v>
      </c>
      <c r="G42">
        <v>0.46</v>
      </c>
      <c r="H42">
        <v>0.46</v>
      </c>
      <c r="I42" s="2" t="s">
        <v>201</v>
      </c>
      <c r="J42" s="3">
        <f t="shared" si="0"/>
        <v>0</v>
      </c>
      <c r="K42" s="3">
        <f t="shared" si="1"/>
        <v>0</v>
      </c>
    </row>
    <row r="43" spans="1:11" x14ac:dyDescent="0.25">
      <c r="A43" t="s">
        <v>193</v>
      </c>
      <c r="B43" t="s">
        <v>188</v>
      </c>
      <c r="C43" t="s">
        <v>596</v>
      </c>
      <c r="D43">
        <v>0</v>
      </c>
      <c r="E43">
        <v>0</v>
      </c>
      <c r="F43" s="1">
        <v>45890</v>
      </c>
      <c r="G43">
        <v>14.11</v>
      </c>
      <c r="H43">
        <v>14.11</v>
      </c>
      <c r="I43" s="2" t="s">
        <v>201</v>
      </c>
      <c r="J43" s="3">
        <f t="shared" si="0"/>
        <v>0</v>
      </c>
      <c r="K43" s="3">
        <f t="shared" si="1"/>
        <v>0</v>
      </c>
    </row>
    <row r="44" spans="1:11" x14ac:dyDescent="0.25">
      <c r="A44" t="s">
        <v>193</v>
      </c>
      <c r="B44" t="s">
        <v>188</v>
      </c>
      <c r="C44" t="s">
        <v>611</v>
      </c>
      <c r="D44">
        <v>0</v>
      </c>
      <c r="E44">
        <v>0</v>
      </c>
      <c r="F44" s="1">
        <v>45891</v>
      </c>
      <c r="G44">
        <v>14.12</v>
      </c>
      <c r="H44">
        <v>14.12</v>
      </c>
      <c r="I44" s="2" t="s">
        <v>201</v>
      </c>
      <c r="J44" s="3">
        <f t="shared" si="0"/>
        <v>0</v>
      </c>
      <c r="K44" s="3">
        <f t="shared" si="1"/>
        <v>0</v>
      </c>
    </row>
    <row r="45" spans="1:11" x14ac:dyDescent="0.25">
      <c r="A45" t="s">
        <v>193</v>
      </c>
      <c r="B45" t="s">
        <v>188</v>
      </c>
      <c r="C45" t="s">
        <v>619</v>
      </c>
      <c r="D45">
        <v>0</v>
      </c>
      <c r="E45">
        <v>0</v>
      </c>
      <c r="F45" s="1">
        <v>45892</v>
      </c>
      <c r="G45">
        <v>14.13</v>
      </c>
      <c r="H45">
        <v>14.13</v>
      </c>
      <c r="I45" s="2" t="s">
        <v>201</v>
      </c>
      <c r="J45" s="3">
        <f t="shared" si="0"/>
        <v>0</v>
      </c>
      <c r="K45" s="3">
        <f t="shared" si="1"/>
        <v>0</v>
      </c>
    </row>
    <row r="46" spans="1:11" x14ac:dyDescent="0.25">
      <c r="A46" t="s">
        <v>193</v>
      </c>
      <c r="B46" t="s">
        <v>188</v>
      </c>
      <c r="C46" t="s">
        <v>627</v>
      </c>
      <c r="D46">
        <v>0</v>
      </c>
      <c r="E46">
        <v>0</v>
      </c>
      <c r="F46" s="1">
        <v>45893</v>
      </c>
      <c r="G46">
        <v>14.14</v>
      </c>
      <c r="H46">
        <v>14.14</v>
      </c>
      <c r="I46" s="2" t="s">
        <v>201</v>
      </c>
      <c r="J46" s="3">
        <f t="shared" si="0"/>
        <v>0</v>
      </c>
      <c r="K46" s="3">
        <f t="shared" si="1"/>
        <v>0</v>
      </c>
    </row>
    <row r="47" spans="1:11" x14ac:dyDescent="0.25">
      <c r="A47" t="s">
        <v>193</v>
      </c>
      <c r="B47" t="s">
        <v>188</v>
      </c>
      <c r="C47" t="s">
        <v>635</v>
      </c>
      <c r="D47">
        <v>0</v>
      </c>
      <c r="E47">
        <v>0</v>
      </c>
      <c r="F47" s="1">
        <v>45894</v>
      </c>
      <c r="G47">
        <v>14.15</v>
      </c>
      <c r="H47">
        <v>14.15</v>
      </c>
      <c r="I47" s="2" t="s">
        <v>201</v>
      </c>
      <c r="J47" s="3">
        <f t="shared" si="0"/>
        <v>0</v>
      </c>
      <c r="K47" s="3">
        <f t="shared" si="1"/>
        <v>0</v>
      </c>
    </row>
    <row r="48" spans="1:11" x14ac:dyDescent="0.25">
      <c r="A48" t="s">
        <v>475</v>
      </c>
      <c r="B48" t="s">
        <v>188</v>
      </c>
      <c r="C48" t="s">
        <v>193</v>
      </c>
      <c r="D48">
        <v>0</v>
      </c>
      <c r="E48">
        <v>0</v>
      </c>
      <c r="F48" s="1">
        <v>45849</v>
      </c>
      <c r="G48">
        <v>0.01</v>
      </c>
      <c r="H48">
        <v>0.01</v>
      </c>
      <c r="I48" s="2" t="s">
        <v>201</v>
      </c>
      <c r="J48" s="3">
        <f t="shared" si="0"/>
        <v>0</v>
      </c>
      <c r="K48" s="3">
        <f t="shared" si="1"/>
        <v>0</v>
      </c>
    </row>
    <row r="49" spans="1:11" x14ac:dyDescent="0.25">
      <c r="A49" t="s">
        <v>475</v>
      </c>
      <c r="B49" t="s">
        <v>188</v>
      </c>
      <c r="C49" t="s">
        <v>193</v>
      </c>
      <c r="D49">
        <v>0</v>
      </c>
      <c r="E49">
        <v>0</v>
      </c>
      <c r="F49" s="1">
        <v>45849</v>
      </c>
      <c r="G49">
        <v>0.13</v>
      </c>
      <c r="H49">
        <v>0.13</v>
      </c>
      <c r="I49" s="2" t="s">
        <v>201</v>
      </c>
      <c r="J49" s="3">
        <f t="shared" si="0"/>
        <v>0</v>
      </c>
      <c r="K49" s="3">
        <f t="shared" si="1"/>
        <v>0</v>
      </c>
    </row>
    <row r="50" spans="1:11" x14ac:dyDescent="0.25">
      <c r="A50" t="s">
        <v>475</v>
      </c>
      <c r="B50" t="s">
        <v>188</v>
      </c>
      <c r="C50" t="s">
        <v>193</v>
      </c>
      <c r="D50">
        <v>0</v>
      </c>
      <c r="E50">
        <v>0</v>
      </c>
      <c r="F50" s="1">
        <v>45849</v>
      </c>
      <c r="G50">
        <v>0.09</v>
      </c>
      <c r="H50">
        <v>0.09</v>
      </c>
      <c r="I50" s="2" t="s">
        <v>201</v>
      </c>
      <c r="J50" s="3">
        <f t="shared" si="0"/>
        <v>0</v>
      </c>
      <c r="K50" s="3">
        <f t="shared" si="1"/>
        <v>0</v>
      </c>
    </row>
    <row r="51" spans="1:11" x14ac:dyDescent="0.25">
      <c r="A51" t="s">
        <v>475</v>
      </c>
      <c r="B51" t="s">
        <v>188</v>
      </c>
      <c r="C51" t="s">
        <v>193</v>
      </c>
      <c r="D51">
        <v>0</v>
      </c>
      <c r="E51">
        <v>0</v>
      </c>
      <c r="F51" s="1">
        <v>45849</v>
      </c>
      <c r="G51">
        <v>0.21</v>
      </c>
      <c r="H51">
        <v>0.21</v>
      </c>
      <c r="I51" s="2" t="s">
        <v>201</v>
      </c>
      <c r="J51" s="3">
        <f t="shared" si="0"/>
        <v>0</v>
      </c>
      <c r="K51" s="3">
        <f t="shared" si="1"/>
        <v>0</v>
      </c>
    </row>
    <row r="52" spans="1:11" x14ac:dyDescent="0.25">
      <c r="A52" t="s">
        <v>475</v>
      </c>
      <c r="B52" t="s">
        <v>188</v>
      </c>
      <c r="C52" t="s">
        <v>193</v>
      </c>
      <c r="D52">
        <v>0</v>
      </c>
      <c r="E52">
        <v>0</v>
      </c>
      <c r="F52" s="1">
        <v>45849</v>
      </c>
      <c r="G52">
        <v>0.02</v>
      </c>
      <c r="H52">
        <v>0.02</v>
      </c>
      <c r="I52" s="2" t="s">
        <v>201</v>
      </c>
      <c r="J52" s="3">
        <f t="shared" si="0"/>
        <v>0</v>
      </c>
      <c r="K52" s="3">
        <f t="shared" si="1"/>
        <v>0</v>
      </c>
    </row>
    <row r="53" spans="1:11" x14ac:dyDescent="0.25">
      <c r="A53" t="s">
        <v>475</v>
      </c>
      <c r="B53" t="s">
        <v>188</v>
      </c>
      <c r="C53" t="s">
        <v>193</v>
      </c>
      <c r="D53">
        <v>0</v>
      </c>
      <c r="E53">
        <v>0</v>
      </c>
      <c r="F53" s="1">
        <v>45849</v>
      </c>
      <c r="G53">
        <v>15.92</v>
      </c>
      <c r="H53">
        <v>15.92</v>
      </c>
      <c r="I53" s="2" t="s">
        <v>201</v>
      </c>
      <c r="J53" s="3">
        <f t="shared" si="0"/>
        <v>0</v>
      </c>
      <c r="K53" s="3">
        <f t="shared" si="1"/>
        <v>0</v>
      </c>
    </row>
    <row r="54" spans="1:11" x14ac:dyDescent="0.25">
      <c r="A54" t="s">
        <v>475</v>
      </c>
      <c r="B54" t="s">
        <v>188</v>
      </c>
      <c r="C54" t="s">
        <v>193</v>
      </c>
      <c r="D54">
        <v>0</v>
      </c>
      <c r="E54">
        <v>0</v>
      </c>
      <c r="F54" s="1">
        <v>45849</v>
      </c>
      <c r="G54">
        <v>15.93</v>
      </c>
      <c r="H54">
        <v>15.93</v>
      </c>
      <c r="I54" s="2" t="s">
        <v>201</v>
      </c>
      <c r="J54" s="3">
        <f t="shared" si="0"/>
        <v>0</v>
      </c>
      <c r="K54" s="3">
        <f t="shared" si="1"/>
        <v>0</v>
      </c>
    </row>
    <row r="55" spans="1:11" x14ac:dyDescent="0.25">
      <c r="A55" t="s">
        <v>475</v>
      </c>
      <c r="B55" t="s">
        <v>188</v>
      </c>
      <c r="C55" t="s">
        <v>193</v>
      </c>
      <c r="D55">
        <v>0</v>
      </c>
      <c r="E55">
        <v>0</v>
      </c>
      <c r="F55" s="1">
        <v>45849</v>
      </c>
      <c r="G55">
        <v>9.58</v>
      </c>
      <c r="H55">
        <v>9.58</v>
      </c>
      <c r="I55" s="2" t="s">
        <v>201</v>
      </c>
      <c r="J55" s="3">
        <f t="shared" si="0"/>
        <v>0</v>
      </c>
      <c r="K55" s="3">
        <f t="shared" si="1"/>
        <v>0</v>
      </c>
    </row>
    <row r="56" spans="1:11" x14ac:dyDescent="0.25">
      <c r="A56" t="s">
        <v>475</v>
      </c>
      <c r="B56" t="s">
        <v>188</v>
      </c>
      <c r="C56" t="s">
        <v>193</v>
      </c>
      <c r="D56">
        <v>0</v>
      </c>
      <c r="E56">
        <v>0</v>
      </c>
      <c r="F56" s="1">
        <v>45849</v>
      </c>
      <c r="G56">
        <v>14.35</v>
      </c>
      <c r="H56">
        <v>14.35</v>
      </c>
      <c r="I56" s="2" t="s">
        <v>201</v>
      </c>
      <c r="J56" s="3">
        <f t="shared" si="0"/>
        <v>0</v>
      </c>
      <c r="K56" s="3">
        <f t="shared" si="1"/>
        <v>0</v>
      </c>
    </row>
    <row r="57" spans="1:11" x14ac:dyDescent="0.25">
      <c r="A57" t="s">
        <v>475</v>
      </c>
      <c r="B57" t="s">
        <v>188</v>
      </c>
      <c r="C57" t="s">
        <v>193</v>
      </c>
      <c r="D57">
        <v>0</v>
      </c>
      <c r="E57">
        <v>0</v>
      </c>
      <c r="F57" s="1">
        <v>45849</v>
      </c>
      <c r="G57">
        <v>24.12</v>
      </c>
      <c r="H57">
        <v>24.12</v>
      </c>
      <c r="I57" s="2" t="s">
        <v>201</v>
      </c>
      <c r="J57" s="3">
        <f t="shared" si="0"/>
        <v>0</v>
      </c>
      <c r="K57" s="3">
        <f t="shared" si="1"/>
        <v>0</v>
      </c>
    </row>
    <row r="58" spans="1:11" x14ac:dyDescent="0.25">
      <c r="A58" t="s">
        <v>476</v>
      </c>
      <c r="B58" t="s">
        <v>188</v>
      </c>
      <c r="C58" t="s">
        <v>193</v>
      </c>
      <c r="D58">
        <v>0</v>
      </c>
      <c r="E58">
        <v>0</v>
      </c>
      <c r="F58" s="1">
        <v>45849</v>
      </c>
      <c r="G58">
        <v>0.01</v>
      </c>
      <c r="H58">
        <v>0.01</v>
      </c>
      <c r="I58" s="2" t="s">
        <v>201</v>
      </c>
      <c r="J58" s="3">
        <f t="shared" si="0"/>
        <v>0</v>
      </c>
      <c r="K58" s="3">
        <f t="shared" si="1"/>
        <v>0</v>
      </c>
    </row>
    <row r="59" spans="1:11" x14ac:dyDescent="0.25">
      <c r="A59" t="s">
        <v>476</v>
      </c>
      <c r="B59" t="s">
        <v>188</v>
      </c>
      <c r="C59" t="s">
        <v>193</v>
      </c>
      <c r="D59">
        <v>0</v>
      </c>
      <c r="E59">
        <v>0</v>
      </c>
      <c r="F59" s="1">
        <v>45849</v>
      </c>
      <c r="G59">
        <v>0.13</v>
      </c>
      <c r="H59">
        <v>0.13</v>
      </c>
      <c r="I59" s="2" t="s">
        <v>201</v>
      </c>
      <c r="J59" s="3">
        <f t="shared" si="0"/>
        <v>0</v>
      </c>
      <c r="K59" s="3">
        <f t="shared" si="1"/>
        <v>0</v>
      </c>
    </row>
    <row r="60" spans="1:11" x14ac:dyDescent="0.25">
      <c r="A60" t="s">
        <v>476</v>
      </c>
      <c r="B60" t="s">
        <v>188</v>
      </c>
      <c r="C60" t="s">
        <v>193</v>
      </c>
      <c r="D60">
        <v>0</v>
      </c>
      <c r="E60">
        <v>0</v>
      </c>
      <c r="F60" s="1">
        <v>45849</v>
      </c>
      <c r="G60">
        <v>0.09</v>
      </c>
      <c r="H60">
        <v>0.09</v>
      </c>
      <c r="I60" s="2" t="s">
        <v>201</v>
      </c>
      <c r="J60" s="3">
        <f t="shared" si="0"/>
        <v>0</v>
      </c>
      <c r="K60" s="3">
        <f t="shared" si="1"/>
        <v>0</v>
      </c>
    </row>
    <row r="61" spans="1:11" x14ac:dyDescent="0.25">
      <c r="A61" t="s">
        <v>476</v>
      </c>
      <c r="B61" t="s">
        <v>188</v>
      </c>
      <c r="C61" t="s">
        <v>193</v>
      </c>
      <c r="D61">
        <v>0</v>
      </c>
      <c r="E61">
        <v>0</v>
      </c>
      <c r="F61" s="1">
        <v>45849</v>
      </c>
      <c r="G61">
        <v>0.21</v>
      </c>
      <c r="H61">
        <v>0.21</v>
      </c>
      <c r="I61" s="2" t="s">
        <v>201</v>
      </c>
      <c r="J61" s="3">
        <f t="shared" si="0"/>
        <v>0</v>
      </c>
      <c r="K61" s="3">
        <f t="shared" si="1"/>
        <v>0</v>
      </c>
    </row>
    <row r="62" spans="1:11" x14ac:dyDescent="0.25">
      <c r="A62" t="s">
        <v>476</v>
      </c>
      <c r="B62" t="s">
        <v>188</v>
      </c>
      <c r="C62" t="s">
        <v>193</v>
      </c>
      <c r="D62">
        <v>0</v>
      </c>
      <c r="E62">
        <v>0</v>
      </c>
      <c r="F62" s="1">
        <v>45849</v>
      </c>
      <c r="G62">
        <v>0.02</v>
      </c>
      <c r="H62">
        <v>0.02</v>
      </c>
      <c r="I62" s="2" t="s">
        <v>201</v>
      </c>
      <c r="J62" s="3">
        <f t="shared" si="0"/>
        <v>0</v>
      </c>
      <c r="K62" s="3">
        <f t="shared" si="1"/>
        <v>0</v>
      </c>
    </row>
    <row r="63" spans="1:11" x14ac:dyDescent="0.25">
      <c r="A63" t="s">
        <v>476</v>
      </c>
      <c r="B63" t="s">
        <v>188</v>
      </c>
      <c r="C63" t="s">
        <v>193</v>
      </c>
      <c r="D63">
        <v>0</v>
      </c>
      <c r="E63">
        <v>0</v>
      </c>
      <c r="F63" s="1">
        <v>45849</v>
      </c>
      <c r="G63">
        <v>15.92</v>
      </c>
      <c r="H63">
        <v>15.92</v>
      </c>
      <c r="I63" s="2" t="s">
        <v>201</v>
      </c>
      <c r="J63" s="3">
        <f t="shared" si="0"/>
        <v>0</v>
      </c>
      <c r="K63" s="3">
        <f t="shared" si="1"/>
        <v>0</v>
      </c>
    </row>
    <row r="64" spans="1:11" x14ac:dyDescent="0.25">
      <c r="A64" t="s">
        <v>476</v>
      </c>
      <c r="B64" t="s">
        <v>188</v>
      </c>
      <c r="C64" t="s">
        <v>193</v>
      </c>
      <c r="D64">
        <v>0</v>
      </c>
      <c r="E64">
        <v>0</v>
      </c>
      <c r="F64" s="1">
        <v>45849</v>
      </c>
      <c r="G64">
        <v>15.93</v>
      </c>
      <c r="H64">
        <v>15.93</v>
      </c>
      <c r="I64" s="2" t="s">
        <v>201</v>
      </c>
      <c r="J64" s="3">
        <f t="shared" si="0"/>
        <v>0</v>
      </c>
      <c r="K64" s="3">
        <f t="shared" si="1"/>
        <v>0</v>
      </c>
    </row>
    <row r="65" spans="1:11" x14ac:dyDescent="0.25">
      <c r="A65" t="s">
        <v>476</v>
      </c>
      <c r="B65" t="s">
        <v>188</v>
      </c>
      <c r="C65" t="s">
        <v>193</v>
      </c>
      <c r="D65">
        <v>0</v>
      </c>
      <c r="E65">
        <v>0</v>
      </c>
      <c r="F65" s="1">
        <v>45849</v>
      </c>
      <c r="G65">
        <v>9.58</v>
      </c>
      <c r="H65">
        <v>9.58</v>
      </c>
      <c r="I65" s="2" t="s">
        <v>201</v>
      </c>
      <c r="J65" s="3">
        <f t="shared" si="0"/>
        <v>0</v>
      </c>
      <c r="K65" s="3">
        <f t="shared" si="1"/>
        <v>0</v>
      </c>
    </row>
    <row r="66" spans="1:11" x14ac:dyDescent="0.25">
      <c r="A66" t="s">
        <v>476</v>
      </c>
      <c r="B66" t="s">
        <v>188</v>
      </c>
      <c r="C66" t="s">
        <v>193</v>
      </c>
      <c r="D66">
        <v>0</v>
      </c>
      <c r="E66">
        <v>0</v>
      </c>
      <c r="F66" s="1">
        <v>45849</v>
      </c>
      <c r="G66">
        <v>14.35</v>
      </c>
      <c r="H66">
        <v>14.35</v>
      </c>
      <c r="I66" s="2" t="s">
        <v>201</v>
      </c>
      <c r="J66" s="3">
        <f t="shared" si="0"/>
        <v>0</v>
      </c>
      <c r="K66" s="3">
        <f t="shared" si="1"/>
        <v>0</v>
      </c>
    </row>
    <row r="67" spans="1:11" x14ac:dyDescent="0.25">
      <c r="A67" t="s">
        <v>476</v>
      </c>
      <c r="B67" t="s">
        <v>188</v>
      </c>
      <c r="C67" t="s">
        <v>193</v>
      </c>
      <c r="D67">
        <v>0</v>
      </c>
      <c r="E67">
        <v>0</v>
      </c>
      <c r="F67" s="1">
        <v>45849</v>
      </c>
      <c r="G67">
        <v>24.12</v>
      </c>
      <c r="H67">
        <v>24.12</v>
      </c>
      <c r="I67" s="2" t="s">
        <v>201</v>
      </c>
      <c r="J67" s="3">
        <f t="shared" ref="J67:J130" si="2">E67-D67</f>
        <v>0</v>
      </c>
      <c r="K67" s="3">
        <f t="shared" ref="K67:K130" si="3">H67-G67</f>
        <v>0</v>
      </c>
    </row>
    <row r="68" spans="1:11" x14ac:dyDescent="0.25">
      <c r="A68" t="s">
        <v>477</v>
      </c>
      <c r="B68" t="s">
        <v>188</v>
      </c>
      <c r="C68" t="s">
        <v>193</v>
      </c>
      <c r="D68">
        <v>0</v>
      </c>
      <c r="E68">
        <v>0</v>
      </c>
      <c r="F68" s="1">
        <v>45849</v>
      </c>
      <c r="G68">
        <v>0.01</v>
      </c>
      <c r="H68">
        <v>0.01</v>
      </c>
      <c r="I68" s="2" t="s">
        <v>201</v>
      </c>
      <c r="J68" s="3">
        <f t="shared" si="2"/>
        <v>0</v>
      </c>
      <c r="K68" s="3">
        <f t="shared" si="3"/>
        <v>0</v>
      </c>
    </row>
    <row r="69" spans="1:11" x14ac:dyDescent="0.25">
      <c r="A69" t="s">
        <v>477</v>
      </c>
      <c r="B69" t="s">
        <v>188</v>
      </c>
      <c r="C69" t="s">
        <v>193</v>
      </c>
      <c r="D69">
        <v>0</v>
      </c>
      <c r="E69">
        <v>0</v>
      </c>
      <c r="F69" s="1">
        <v>45849</v>
      </c>
      <c r="G69">
        <v>0.15</v>
      </c>
      <c r="H69">
        <v>0.15</v>
      </c>
      <c r="I69" s="2" t="s">
        <v>201</v>
      </c>
      <c r="J69" s="3">
        <f t="shared" si="2"/>
        <v>0</v>
      </c>
      <c r="K69" s="3">
        <f t="shared" si="3"/>
        <v>0</v>
      </c>
    </row>
    <row r="70" spans="1:11" x14ac:dyDescent="0.25">
      <c r="A70" t="s">
        <v>477</v>
      </c>
      <c r="B70" t="s">
        <v>188</v>
      </c>
      <c r="C70" t="s">
        <v>193</v>
      </c>
      <c r="D70">
        <v>0</v>
      </c>
      <c r="E70">
        <v>0</v>
      </c>
      <c r="F70" s="1">
        <v>45849</v>
      </c>
      <c r="G70">
        <v>0.01</v>
      </c>
      <c r="H70">
        <v>0.01</v>
      </c>
      <c r="I70" s="2" t="s">
        <v>201</v>
      </c>
      <c r="J70" s="3">
        <f t="shared" si="2"/>
        <v>0</v>
      </c>
      <c r="K70" s="3">
        <f t="shared" si="3"/>
        <v>0</v>
      </c>
    </row>
    <row r="71" spans="1:11" x14ac:dyDescent="0.25">
      <c r="A71" t="s">
        <v>477</v>
      </c>
      <c r="B71" t="s">
        <v>188</v>
      </c>
      <c r="C71" t="s">
        <v>193</v>
      </c>
      <c r="D71">
        <v>0</v>
      </c>
      <c r="E71">
        <v>0</v>
      </c>
      <c r="F71" s="1">
        <v>45849</v>
      </c>
      <c r="G71">
        <v>0.22</v>
      </c>
      <c r="H71">
        <v>0.22</v>
      </c>
      <c r="I71" s="2" t="s">
        <v>201</v>
      </c>
      <c r="J71" s="3">
        <f t="shared" si="2"/>
        <v>0</v>
      </c>
      <c r="K71" s="3">
        <f t="shared" si="3"/>
        <v>0</v>
      </c>
    </row>
    <row r="72" spans="1:11" x14ac:dyDescent="0.25">
      <c r="A72" t="s">
        <v>477</v>
      </c>
      <c r="B72" t="s">
        <v>188</v>
      </c>
      <c r="C72" t="s">
        <v>193</v>
      </c>
      <c r="D72">
        <v>0</v>
      </c>
      <c r="E72">
        <v>0</v>
      </c>
      <c r="F72" s="1">
        <v>45849</v>
      </c>
      <c r="G72">
        <v>0.01</v>
      </c>
      <c r="H72">
        <v>0.01</v>
      </c>
      <c r="I72" s="2" t="s">
        <v>201</v>
      </c>
      <c r="J72" s="3">
        <f t="shared" si="2"/>
        <v>0</v>
      </c>
      <c r="K72" s="3">
        <f t="shared" si="3"/>
        <v>0</v>
      </c>
    </row>
    <row r="73" spans="1:11" x14ac:dyDescent="0.25">
      <c r="A73" t="s">
        <v>477</v>
      </c>
      <c r="B73" t="s">
        <v>188</v>
      </c>
      <c r="C73" t="s">
        <v>193</v>
      </c>
      <c r="D73">
        <v>0</v>
      </c>
      <c r="E73">
        <v>0</v>
      </c>
      <c r="F73" s="1">
        <v>45849</v>
      </c>
      <c r="G73">
        <v>2.65</v>
      </c>
      <c r="H73">
        <v>2.65</v>
      </c>
      <c r="I73" s="2" t="s">
        <v>201</v>
      </c>
      <c r="J73" s="3">
        <f t="shared" si="2"/>
        <v>0</v>
      </c>
      <c r="K73" s="3">
        <f t="shared" si="3"/>
        <v>0</v>
      </c>
    </row>
    <row r="74" spans="1:11" x14ac:dyDescent="0.25">
      <c r="A74" t="s">
        <v>477</v>
      </c>
      <c r="B74" t="s">
        <v>188</v>
      </c>
      <c r="C74" t="s">
        <v>193</v>
      </c>
      <c r="D74">
        <v>0</v>
      </c>
      <c r="E74">
        <v>0</v>
      </c>
      <c r="F74" s="1">
        <v>45849</v>
      </c>
      <c r="G74">
        <v>2.65</v>
      </c>
      <c r="H74">
        <v>2.65</v>
      </c>
      <c r="I74" s="2" t="s">
        <v>201</v>
      </c>
      <c r="J74" s="3">
        <f t="shared" si="2"/>
        <v>0</v>
      </c>
      <c r="K74" s="3">
        <f t="shared" si="3"/>
        <v>0</v>
      </c>
    </row>
    <row r="75" spans="1:11" x14ac:dyDescent="0.25">
      <c r="A75" t="s">
        <v>477</v>
      </c>
      <c r="B75" t="s">
        <v>188</v>
      </c>
      <c r="C75" t="s">
        <v>193</v>
      </c>
      <c r="D75">
        <v>0</v>
      </c>
      <c r="E75">
        <v>0</v>
      </c>
      <c r="F75" s="1">
        <v>45849</v>
      </c>
      <c r="G75">
        <v>10.64</v>
      </c>
      <c r="H75">
        <v>10.64</v>
      </c>
      <c r="I75" s="2" t="s">
        <v>201</v>
      </c>
      <c r="J75" s="3">
        <f t="shared" si="2"/>
        <v>0</v>
      </c>
      <c r="K75" s="3">
        <f t="shared" si="3"/>
        <v>0</v>
      </c>
    </row>
    <row r="76" spans="1:11" x14ac:dyDescent="0.25">
      <c r="A76" t="s">
        <v>477</v>
      </c>
      <c r="B76" t="s">
        <v>188</v>
      </c>
      <c r="C76" t="s">
        <v>193</v>
      </c>
      <c r="D76">
        <v>0</v>
      </c>
      <c r="E76">
        <v>0</v>
      </c>
      <c r="F76" s="1">
        <v>45849</v>
      </c>
      <c r="G76">
        <v>2.39</v>
      </c>
      <c r="H76">
        <v>2.39</v>
      </c>
      <c r="I76" s="2" t="s">
        <v>201</v>
      </c>
      <c r="J76" s="3">
        <f t="shared" si="2"/>
        <v>0</v>
      </c>
      <c r="K76" s="3">
        <f t="shared" si="3"/>
        <v>0</v>
      </c>
    </row>
    <row r="77" spans="1:11" x14ac:dyDescent="0.25">
      <c r="A77" t="s">
        <v>477</v>
      </c>
      <c r="B77" t="s">
        <v>188</v>
      </c>
      <c r="C77" t="s">
        <v>193</v>
      </c>
      <c r="D77">
        <v>0</v>
      </c>
      <c r="E77">
        <v>0</v>
      </c>
      <c r="F77" s="1">
        <v>45849</v>
      </c>
      <c r="G77">
        <v>26.8</v>
      </c>
      <c r="H77">
        <v>26.8</v>
      </c>
      <c r="I77" s="2" t="s">
        <v>201</v>
      </c>
      <c r="J77" s="3">
        <f t="shared" si="2"/>
        <v>0</v>
      </c>
      <c r="K77" s="3">
        <f t="shared" si="3"/>
        <v>0</v>
      </c>
    </row>
    <row r="78" spans="1:11" x14ac:dyDescent="0.25">
      <c r="A78" t="s">
        <v>482</v>
      </c>
      <c r="B78" t="s">
        <v>188</v>
      </c>
      <c r="C78" t="s">
        <v>193</v>
      </c>
      <c r="D78">
        <v>0</v>
      </c>
      <c r="E78">
        <v>0</v>
      </c>
      <c r="F78" s="1">
        <v>45849</v>
      </c>
      <c r="G78">
        <v>67.89</v>
      </c>
      <c r="H78">
        <v>67.89</v>
      </c>
      <c r="I78" s="2" t="s">
        <v>201</v>
      </c>
      <c r="J78" s="3">
        <f t="shared" si="2"/>
        <v>0</v>
      </c>
      <c r="K78" s="3">
        <f t="shared" si="3"/>
        <v>0</v>
      </c>
    </row>
    <row r="79" spans="1:11" x14ac:dyDescent="0.25">
      <c r="A79" t="s">
        <v>193</v>
      </c>
      <c r="B79" t="s">
        <v>188</v>
      </c>
      <c r="C79" t="s">
        <v>279</v>
      </c>
      <c r="D79">
        <v>265.27999999999997</v>
      </c>
      <c r="E79">
        <v>265.27999999999997</v>
      </c>
      <c r="F79" s="1">
        <v>45849</v>
      </c>
      <c r="G79">
        <v>0</v>
      </c>
      <c r="H79">
        <v>0</v>
      </c>
      <c r="I79" s="2" t="s">
        <v>201</v>
      </c>
      <c r="J79" s="3">
        <f t="shared" si="2"/>
        <v>0</v>
      </c>
      <c r="K79" s="3">
        <f t="shared" si="3"/>
        <v>0</v>
      </c>
    </row>
    <row r="80" spans="1:11" x14ac:dyDescent="0.25">
      <c r="A80" t="s">
        <v>193</v>
      </c>
      <c r="B80" t="s">
        <v>188</v>
      </c>
      <c r="C80" t="s">
        <v>298</v>
      </c>
      <c r="D80">
        <v>265.48</v>
      </c>
      <c r="E80">
        <v>265.48</v>
      </c>
      <c r="F80" s="1">
        <v>45849</v>
      </c>
      <c r="G80">
        <v>0</v>
      </c>
      <c r="H80">
        <v>0</v>
      </c>
      <c r="I80" s="2" t="s">
        <v>201</v>
      </c>
      <c r="J80" s="3">
        <f t="shared" si="2"/>
        <v>0</v>
      </c>
      <c r="K80" s="3">
        <f t="shared" si="3"/>
        <v>0</v>
      </c>
    </row>
    <row r="81" spans="1:11" x14ac:dyDescent="0.25">
      <c r="A81" t="s">
        <v>193</v>
      </c>
      <c r="B81" t="s">
        <v>188</v>
      </c>
      <c r="C81" t="s">
        <v>313</v>
      </c>
      <c r="D81">
        <v>106.43</v>
      </c>
      <c r="E81">
        <v>106.43</v>
      </c>
      <c r="F81" s="1">
        <v>45849</v>
      </c>
      <c r="G81">
        <v>0</v>
      </c>
      <c r="H81">
        <v>0</v>
      </c>
      <c r="I81" s="2" t="s">
        <v>201</v>
      </c>
      <c r="J81" s="3">
        <f t="shared" si="2"/>
        <v>0</v>
      </c>
      <c r="K81" s="3">
        <f t="shared" si="3"/>
        <v>0</v>
      </c>
    </row>
    <row r="82" spans="1:11" x14ac:dyDescent="0.25">
      <c r="A82" t="s">
        <v>193</v>
      </c>
      <c r="B82" t="s">
        <v>188</v>
      </c>
      <c r="C82" t="s">
        <v>332</v>
      </c>
      <c r="D82">
        <v>239.1</v>
      </c>
      <c r="E82">
        <v>239.1</v>
      </c>
      <c r="F82" s="1">
        <v>45849</v>
      </c>
      <c r="G82">
        <v>0</v>
      </c>
      <c r="H82">
        <v>0</v>
      </c>
      <c r="I82" s="2" t="s">
        <v>201</v>
      </c>
      <c r="J82" s="3">
        <f t="shared" si="2"/>
        <v>0</v>
      </c>
      <c r="K82" s="3">
        <f t="shared" si="3"/>
        <v>0</v>
      </c>
    </row>
    <row r="83" spans="1:11" x14ac:dyDescent="0.25">
      <c r="A83" t="s">
        <v>193</v>
      </c>
      <c r="B83" t="s">
        <v>188</v>
      </c>
      <c r="C83" t="s">
        <v>196</v>
      </c>
      <c r="D83">
        <v>267.95999999999998</v>
      </c>
      <c r="E83">
        <v>267.95999999999998</v>
      </c>
      <c r="F83" s="1">
        <v>45849</v>
      </c>
      <c r="G83">
        <v>0</v>
      </c>
      <c r="H83">
        <v>0</v>
      </c>
      <c r="I83" s="2" t="s">
        <v>201</v>
      </c>
      <c r="J83" s="3">
        <f t="shared" si="2"/>
        <v>0</v>
      </c>
      <c r="K83" s="3">
        <f t="shared" si="3"/>
        <v>0</v>
      </c>
    </row>
    <row r="84" spans="1:11" x14ac:dyDescent="0.25">
      <c r="A84" t="s">
        <v>193</v>
      </c>
      <c r="B84" t="s">
        <v>188</v>
      </c>
      <c r="C84" t="s">
        <v>377</v>
      </c>
      <c r="D84">
        <v>18.54</v>
      </c>
      <c r="E84">
        <v>18.54</v>
      </c>
      <c r="F84" s="1">
        <v>45849</v>
      </c>
      <c r="G84">
        <v>0</v>
      </c>
      <c r="H84">
        <v>0</v>
      </c>
      <c r="I84" s="2" t="s">
        <v>201</v>
      </c>
      <c r="J84" s="3">
        <f t="shared" si="2"/>
        <v>0</v>
      </c>
      <c r="K84" s="3">
        <f t="shared" si="3"/>
        <v>0</v>
      </c>
    </row>
    <row r="85" spans="1:11" x14ac:dyDescent="0.25">
      <c r="A85" t="s">
        <v>193</v>
      </c>
      <c r="B85" t="s">
        <v>188</v>
      </c>
      <c r="C85" t="s">
        <v>384</v>
      </c>
      <c r="D85">
        <v>19.64</v>
      </c>
      <c r="E85">
        <v>19.64</v>
      </c>
      <c r="F85" s="1">
        <v>45849</v>
      </c>
      <c r="G85">
        <v>0</v>
      </c>
      <c r="H85">
        <v>0</v>
      </c>
      <c r="I85" s="2" t="s">
        <v>201</v>
      </c>
      <c r="J85" s="3">
        <f t="shared" si="2"/>
        <v>0</v>
      </c>
      <c r="K85" s="3">
        <f t="shared" si="3"/>
        <v>0</v>
      </c>
    </row>
    <row r="86" spans="1:11" x14ac:dyDescent="0.25">
      <c r="A86" t="s">
        <v>391</v>
      </c>
      <c r="B86" t="s">
        <v>188</v>
      </c>
      <c r="C86" t="s">
        <v>193</v>
      </c>
      <c r="D86">
        <v>18.77</v>
      </c>
      <c r="E86">
        <v>18.77</v>
      </c>
      <c r="F86" s="1">
        <v>45849</v>
      </c>
      <c r="G86">
        <v>0</v>
      </c>
      <c r="H86">
        <v>0</v>
      </c>
      <c r="I86" s="2" t="s">
        <v>201</v>
      </c>
      <c r="J86" s="3">
        <f t="shared" si="2"/>
        <v>0</v>
      </c>
      <c r="K86" s="3">
        <f t="shared" si="3"/>
        <v>0</v>
      </c>
    </row>
    <row r="87" spans="1:11" x14ac:dyDescent="0.25">
      <c r="A87" t="s">
        <v>397</v>
      </c>
      <c r="B87" t="s">
        <v>188</v>
      </c>
      <c r="C87" t="s">
        <v>193</v>
      </c>
      <c r="D87">
        <v>22.26</v>
      </c>
      <c r="E87">
        <v>22.26</v>
      </c>
      <c r="F87" s="1">
        <v>45849</v>
      </c>
      <c r="G87">
        <v>0</v>
      </c>
      <c r="H87">
        <v>0</v>
      </c>
      <c r="I87" s="2" t="s">
        <v>201</v>
      </c>
      <c r="J87" s="3">
        <f t="shared" si="2"/>
        <v>0</v>
      </c>
      <c r="K87" s="3">
        <f t="shared" si="3"/>
        <v>0</v>
      </c>
    </row>
    <row r="88" spans="1:11" x14ac:dyDescent="0.25">
      <c r="A88" t="s">
        <v>404</v>
      </c>
      <c r="B88" t="s">
        <v>188</v>
      </c>
      <c r="C88" t="s">
        <v>193</v>
      </c>
      <c r="D88">
        <v>22.35</v>
      </c>
      <c r="E88">
        <v>22.35</v>
      </c>
      <c r="F88" s="1">
        <v>45849</v>
      </c>
      <c r="G88">
        <v>0</v>
      </c>
      <c r="H88">
        <v>0</v>
      </c>
      <c r="I88" s="2" t="s">
        <v>201</v>
      </c>
      <c r="J88" s="3">
        <f t="shared" si="2"/>
        <v>0</v>
      </c>
      <c r="K88" s="3">
        <f t="shared" si="3"/>
        <v>0</v>
      </c>
    </row>
    <row r="89" spans="1:11" x14ac:dyDescent="0.25">
      <c r="A89" t="s">
        <v>193</v>
      </c>
      <c r="B89" t="s">
        <v>188</v>
      </c>
      <c r="C89" t="s">
        <v>413</v>
      </c>
      <c r="D89">
        <v>1.49</v>
      </c>
      <c r="E89">
        <v>1.49</v>
      </c>
      <c r="F89" s="1">
        <v>45849</v>
      </c>
      <c r="G89">
        <v>0</v>
      </c>
      <c r="H89">
        <v>0</v>
      </c>
      <c r="I89" s="2" t="s">
        <v>201</v>
      </c>
      <c r="J89" s="3">
        <f t="shared" si="2"/>
        <v>0</v>
      </c>
      <c r="K89" s="3">
        <f t="shared" si="3"/>
        <v>0</v>
      </c>
    </row>
    <row r="90" spans="1:11" x14ac:dyDescent="0.25">
      <c r="A90" t="s">
        <v>193</v>
      </c>
      <c r="B90" t="s">
        <v>188</v>
      </c>
      <c r="C90" t="s">
        <v>423</v>
      </c>
      <c r="D90">
        <v>1.45</v>
      </c>
      <c r="E90">
        <v>1.45</v>
      </c>
      <c r="F90" s="1">
        <v>45849</v>
      </c>
      <c r="G90">
        <v>0</v>
      </c>
      <c r="H90">
        <v>0</v>
      </c>
      <c r="I90" s="2" t="s">
        <v>201</v>
      </c>
      <c r="J90" s="3">
        <f t="shared" si="2"/>
        <v>0</v>
      </c>
      <c r="K90" s="3">
        <f t="shared" si="3"/>
        <v>0</v>
      </c>
    </row>
    <row r="91" spans="1:11" x14ac:dyDescent="0.25">
      <c r="A91" t="s">
        <v>193</v>
      </c>
      <c r="B91" t="s">
        <v>188</v>
      </c>
      <c r="C91" t="s">
        <v>429</v>
      </c>
      <c r="D91">
        <v>1.46</v>
      </c>
      <c r="E91">
        <v>1.46</v>
      </c>
      <c r="F91" s="1">
        <v>45849</v>
      </c>
      <c r="G91">
        <v>0</v>
      </c>
      <c r="H91">
        <v>0</v>
      </c>
      <c r="I91" s="2" t="s">
        <v>201</v>
      </c>
      <c r="J91" s="3">
        <f t="shared" si="2"/>
        <v>0</v>
      </c>
      <c r="K91" s="3">
        <f t="shared" si="3"/>
        <v>0</v>
      </c>
    </row>
    <row r="92" spans="1:11" x14ac:dyDescent="0.25">
      <c r="A92" t="s">
        <v>193</v>
      </c>
      <c r="B92" t="s">
        <v>188</v>
      </c>
      <c r="C92" t="s">
        <v>437</v>
      </c>
      <c r="D92">
        <v>1.47</v>
      </c>
      <c r="E92">
        <v>1.47</v>
      </c>
      <c r="F92" s="1">
        <v>45849</v>
      </c>
      <c r="G92">
        <v>0</v>
      </c>
      <c r="H92">
        <v>0</v>
      </c>
      <c r="I92" s="2" t="s">
        <v>201</v>
      </c>
      <c r="J92" s="3">
        <f t="shared" si="2"/>
        <v>0</v>
      </c>
      <c r="K92" s="3">
        <f t="shared" si="3"/>
        <v>0</v>
      </c>
    </row>
    <row r="93" spans="1:11" x14ac:dyDescent="0.25">
      <c r="A93" t="s">
        <v>193</v>
      </c>
      <c r="B93" t="s">
        <v>188</v>
      </c>
      <c r="C93" t="s">
        <v>447</v>
      </c>
      <c r="D93">
        <v>1.48</v>
      </c>
      <c r="E93">
        <v>1.48</v>
      </c>
      <c r="F93" s="1">
        <v>45849</v>
      </c>
      <c r="G93">
        <v>0</v>
      </c>
      <c r="H93">
        <v>0</v>
      </c>
      <c r="I93" s="2" t="s">
        <v>201</v>
      </c>
      <c r="J93" s="3">
        <f t="shared" si="2"/>
        <v>0</v>
      </c>
      <c r="K93" s="3">
        <f t="shared" si="3"/>
        <v>0</v>
      </c>
    </row>
    <row r="94" spans="1:11" x14ac:dyDescent="0.25">
      <c r="A94" t="s">
        <v>487</v>
      </c>
      <c r="B94" t="s">
        <v>188</v>
      </c>
      <c r="C94" t="s">
        <v>193</v>
      </c>
      <c r="D94">
        <v>11.11</v>
      </c>
      <c r="E94">
        <v>11.11</v>
      </c>
      <c r="F94" s="1">
        <v>45849</v>
      </c>
      <c r="G94">
        <v>0</v>
      </c>
      <c r="H94">
        <v>0</v>
      </c>
      <c r="I94" s="2" t="s">
        <v>201</v>
      </c>
      <c r="J94" s="3">
        <f t="shared" si="2"/>
        <v>0</v>
      </c>
      <c r="K94" s="3">
        <f t="shared" si="3"/>
        <v>0</v>
      </c>
    </row>
    <row r="95" spans="1:11" x14ac:dyDescent="0.25">
      <c r="A95" t="s">
        <v>493</v>
      </c>
      <c r="B95" t="s">
        <v>188</v>
      </c>
      <c r="C95" t="s">
        <v>193</v>
      </c>
      <c r="D95">
        <v>11.12</v>
      </c>
      <c r="E95">
        <v>11.12</v>
      </c>
      <c r="F95" s="1">
        <v>45849</v>
      </c>
      <c r="G95">
        <v>0</v>
      </c>
      <c r="H95">
        <v>0</v>
      </c>
      <c r="I95" s="2" t="s">
        <v>201</v>
      </c>
      <c r="J95" s="3">
        <f t="shared" si="2"/>
        <v>0</v>
      </c>
      <c r="K95" s="3">
        <f t="shared" si="3"/>
        <v>0</v>
      </c>
    </row>
    <row r="96" spans="1:11" x14ac:dyDescent="0.25">
      <c r="A96" t="s">
        <v>499</v>
      </c>
      <c r="B96" t="s">
        <v>188</v>
      </c>
      <c r="C96" t="s">
        <v>193</v>
      </c>
      <c r="D96">
        <v>11.13</v>
      </c>
      <c r="E96">
        <v>11.13</v>
      </c>
      <c r="F96" s="1">
        <v>45849</v>
      </c>
      <c r="G96">
        <v>0</v>
      </c>
      <c r="H96">
        <v>0</v>
      </c>
      <c r="I96" s="2" t="s">
        <v>201</v>
      </c>
      <c r="J96" s="3">
        <f t="shared" si="2"/>
        <v>0</v>
      </c>
      <c r="K96" s="3">
        <f t="shared" si="3"/>
        <v>0</v>
      </c>
    </row>
    <row r="97" spans="1:11" x14ac:dyDescent="0.25">
      <c r="A97" t="s">
        <v>505</v>
      </c>
      <c r="B97" t="s">
        <v>188</v>
      </c>
      <c r="C97" t="s">
        <v>193</v>
      </c>
      <c r="D97">
        <v>11.14</v>
      </c>
      <c r="E97">
        <v>11.14</v>
      </c>
      <c r="F97" s="1">
        <v>45849</v>
      </c>
      <c r="G97">
        <v>0</v>
      </c>
      <c r="H97">
        <v>0</v>
      </c>
      <c r="I97" s="2" t="s">
        <v>201</v>
      </c>
      <c r="J97" s="3">
        <f t="shared" si="2"/>
        <v>0</v>
      </c>
      <c r="K97" s="3">
        <f t="shared" si="3"/>
        <v>0</v>
      </c>
    </row>
    <row r="98" spans="1:11" x14ac:dyDescent="0.25">
      <c r="A98" t="s">
        <v>511</v>
      </c>
      <c r="B98" t="s">
        <v>188</v>
      </c>
      <c r="C98" t="s">
        <v>193</v>
      </c>
      <c r="D98">
        <v>11.15</v>
      </c>
      <c r="E98">
        <v>11.15</v>
      </c>
      <c r="F98" s="1">
        <v>45849</v>
      </c>
      <c r="G98">
        <v>0</v>
      </c>
      <c r="H98">
        <v>0</v>
      </c>
      <c r="I98" s="2" t="s">
        <v>201</v>
      </c>
      <c r="J98" s="3">
        <f t="shared" si="2"/>
        <v>0</v>
      </c>
      <c r="K98" s="3">
        <f t="shared" si="3"/>
        <v>0</v>
      </c>
    </row>
    <row r="99" spans="1:11" x14ac:dyDescent="0.25">
      <c r="A99" t="s">
        <v>526</v>
      </c>
      <c r="B99" t="s">
        <v>188</v>
      </c>
      <c r="C99" t="s">
        <v>528</v>
      </c>
      <c r="D99">
        <v>1.21</v>
      </c>
      <c r="E99">
        <v>1.21</v>
      </c>
      <c r="F99" s="1">
        <v>45849</v>
      </c>
      <c r="G99">
        <v>0</v>
      </c>
      <c r="H99">
        <v>0</v>
      </c>
      <c r="I99" s="2" t="s">
        <v>201</v>
      </c>
      <c r="J99" s="3">
        <f t="shared" si="2"/>
        <v>0</v>
      </c>
      <c r="K99" s="3">
        <f t="shared" si="3"/>
        <v>0</v>
      </c>
    </row>
    <row r="100" spans="1:11" x14ac:dyDescent="0.25">
      <c r="A100" s="2" t="s">
        <v>526</v>
      </c>
      <c r="B100" s="2" t="s">
        <v>188</v>
      </c>
      <c r="C100" s="2" t="s">
        <v>193</v>
      </c>
      <c r="D100" s="2">
        <v>12.11</v>
      </c>
      <c r="E100" s="2">
        <v>13.32</v>
      </c>
      <c r="F100" s="4">
        <v>45849</v>
      </c>
      <c r="G100" s="2">
        <v>0</v>
      </c>
      <c r="H100" s="2">
        <v>0</v>
      </c>
      <c r="I100" s="2" t="s">
        <v>201</v>
      </c>
      <c r="J100" s="3">
        <f t="shared" si="2"/>
        <v>1.2100000000000009</v>
      </c>
      <c r="K100" s="3">
        <f t="shared" si="3"/>
        <v>0</v>
      </c>
    </row>
    <row r="101" spans="1:11" x14ac:dyDescent="0.25">
      <c r="A101" t="s">
        <v>534</v>
      </c>
      <c r="B101" t="s">
        <v>188</v>
      </c>
      <c r="C101" t="s">
        <v>536</v>
      </c>
      <c r="D101">
        <v>1.22</v>
      </c>
      <c r="E101">
        <v>1.22</v>
      </c>
      <c r="F101" s="1">
        <v>45849</v>
      </c>
      <c r="G101">
        <v>0</v>
      </c>
      <c r="H101">
        <v>0</v>
      </c>
      <c r="I101" s="2" t="s">
        <v>201</v>
      </c>
      <c r="J101" s="3">
        <f t="shared" si="2"/>
        <v>0</v>
      </c>
      <c r="K101" s="3">
        <f t="shared" si="3"/>
        <v>0</v>
      </c>
    </row>
    <row r="102" spans="1:11" x14ac:dyDescent="0.25">
      <c r="A102" s="2" t="s">
        <v>534</v>
      </c>
      <c r="B102" s="2" t="s">
        <v>188</v>
      </c>
      <c r="C102" s="2" t="s">
        <v>193</v>
      </c>
      <c r="D102" s="2">
        <v>12.12</v>
      </c>
      <c r="E102" s="2">
        <v>13.34</v>
      </c>
      <c r="F102" s="4">
        <v>45849</v>
      </c>
      <c r="G102" s="2">
        <v>0</v>
      </c>
      <c r="H102" s="2">
        <v>0</v>
      </c>
      <c r="I102" s="2" t="s">
        <v>201</v>
      </c>
      <c r="J102" s="3">
        <f t="shared" si="2"/>
        <v>1.2200000000000006</v>
      </c>
      <c r="K102" s="3">
        <f t="shared" si="3"/>
        <v>0</v>
      </c>
    </row>
    <row r="103" spans="1:11" x14ac:dyDescent="0.25">
      <c r="A103" t="s">
        <v>542</v>
      </c>
      <c r="B103" t="s">
        <v>188</v>
      </c>
      <c r="C103" t="s">
        <v>544</v>
      </c>
      <c r="D103">
        <v>1.23</v>
      </c>
      <c r="E103">
        <v>1.23</v>
      </c>
      <c r="F103" s="1">
        <v>45849</v>
      </c>
      <c r="G103">
        <v>0</v>
      </c>
      <c r="H103">
        <v>0</v>
      </c>
      <c r="I103" s="2" t="s">
        <v>201</v>
      </c>
      <c r="J103" s="3">
        <f t="shared" si="2"/>
        <v>0</v>
      </c>
      <c r="K103" s="3">
        <f t="shared" si="3"/>
        <v>0</v>
      </c>
    </row>
    <row r="104" spans="1:11" x14ac:dyDescent="0.25">
      <c r="A104" s="2" t="s">
        <v>542</v>
      </c>
      <c r="B104" s="2" t="s">
        <v>188</v>
      </c>
      <c r="C104" s="2" t="s">
        <v>193</v>
      </c>
      <c r="D104" s="2">
        <v>12.13</v>
      </c>
      <c r="E104" s="2">
        <v>13.36</v>
      </c>
      <c r="F104" s="4">
        <v>45849</v>
      </c>
      <c r="G104" s="2">
        <v>0</v>
      </c>
      <c r="H104" s="2">
        <v>0</v>
      </c>
      <c r="I104" s="2" t="s">
        <v>201</v>
      </c>
      <c r="J104" s="3">
        <f t="shared" si="2"/>
        <v>1.2299999999999986</v>
      </c>
      <c r="K104" s="3">
        <f t="shared" si="3"/>
        <v>0</v>
      </c>
    </row>
    <row r="105" spans="1:11" x14ac:dyDescent="0.25">
      <c r="A105" t="s">
        <v>550</v>
      </c>
      <c r="B105" t="s">
        <v>188</v>
      </c>
      <c r="C105" t="s">
        <v>552</v>
      </c>
      <c r="D105">
        <v>1.24</v>
      </c>
      <c r="E105">
        <v>1.24</v>
      </c>
      <c r="F105" s="1">
        <v>45849</v>
      </c>
      <c r="G105">
        <v>0</v>
      </c>
      <c r="H105">
        <v>0</v>
      </c>
      <c r="I105" s="2" t="s">
        <v>201</v>
      </c>
      <c r="J105" s="3">
        <f t="shared" si="2"/>
        <v>0</v>
      </c>
      <c r="K105" s="3">
        <f t="shared" si="3"/>
        <v>0</v>
      </c>
    </row>
    <row r="106" spans="1:11" x14ac:dyDescent="0.25">
      <c r="A106" s="2" t="s">
        <v>550</v>
      </c>
      <c r="B106" s="2" t="s">
        <v>188</v>
      </c>
      <c r="C106" s="2" t="s">
        <v>193</v>
      </c>
      <c r="D106" s="2">
        <v>12.14</v>
      </c>
      <c r="E106" s="2">
        <v>13.38</v>
      </c>
      <c r="F106" s="4">
        <v>45849</v>
      </c>
      <c r="G106" s="2">
        <v>0</v>
      </c>
      <c r="H106" s="2">
        <v>0</v>
      </c>
      <c r="I106" s="2" t="s">
        <v>201</v>
      </c>
      <c r="J106" s="3">
        <f t="shared" si="2"/>
        <v>1.2400000000000002</v>
      </c>
      <c r="K106" s="3">
        <f t="shared" si="3"/>
        <v>0</v>
      </c>
    </row>
    <row r="107" spans="1:11" x14ac:dyDescent="0.25">
      <c r="A107" t="s">
        <v>558</v>
      </c>
      <c r="B107" t="s">
        <v>188</v>
      </c>
      <c r="C107" t="s">
        <v>560</v>
      </c>
      <c r="D107">
        <v>1.25</v>
      </c>
      <c r="E107">
        <v>1.25</v>
      </c>
      <c r="F107" s="1">
        <v>45849</v>
      </c>
      <c r="G107">
        <v>0</v>
      </c>
      <c r="H107">
        <v>0</v>
      </c>
      <c r="I107" s="2" t="s">
        <v>201</v>
      </c>
      <c r="J107" s="3">
        <f t="shared" si="2"/>
        <v>0</v>
      </c>
      <c r="K107" s="3">
        <f t="shared" si="3"/>
        <v>0</v>
      </c>
    </row>
    <row r="108" spans="1:11" x14ac:dyDescent="0.25">
      <c r="A108" s="2" t="s">
        <v>558</v>
      </c>
      <c r="B108" s="2" t="s">
        <v>188</v>
      </c>
      <c r="C108" s="2" t="s">
        <v>193</v>
      </c>
      <c r="D108" s="2">
        <v>12.15</v>
      </c>
      <c r="E108" s="2">
        <v>13.4</v>
      </c>
      <c r="F108" s="4">
        <v>45849</v>
      </c>
      <c r="G108" s="2">
        <v>0</v>
      </c>
      <c r="H108" s="2">
        <v>0</v>
      </c>
      <c r="I108" s="2" t="s">
        <v>201</v>
      </c>
      <c r="J108" s="3">
        <f t="shared" si="2"/>
        <v>1.25</v>
      </c>
      <c r="K108" s="3">
        <f t="shared" si="3"/>
        <v>0</v>
      </c>
    </row>
    <row r="109" spans="1:11" x14ac:dyDescent="0.25">
      <c r="A109" t="s">
        <v>568</v>
      </c>
      <c r="B109" t="s">
        <v>188</v>
      </c>
      <c r="C109" t="s">
        <v>193</v>
      </c>
      <c r="D109">
        <v>13.11</v>
      </c>
      <c r="E109">
        <v>13.11</v>
      </c>
      <c r="F109" s="1">
        <v>45849</v>
      </c>
      <c r="G109">
        <v>0</v>
      </c>
      <c r="H109">
        <v>0</v>
      </c>
      <c r="I109" s="2" t="s">
        <v>201</v>
      </c>
      <c r="J109" s="3">
        <f t="shared" si="2"/>
        <v>0</v>
      </c>
      <c r="K109" s="3">
        <f t="shared" si="3"/>
        <v>0</v>
      </c>
    </row>
    <row r="110" spans="1:11" x14ac:dyDescent="0.25">
      <c r="A110" t="s">
        <v>567</v>
      </c>
      <c r="B110" t="s">
        <v>188</v>
      </c>
      <c r="C110" t="s">
        <v>568</v>
      </c>
      <c r="D110">
        <v>13.11</v>
      </c>
      <c r="E110">
        <v>13.11</v>
      </c>
      <c r="F110" s="1">
        <v>45849</v>
      </c>
      <c r="G110">
        <v>0</v>
      </c>
      <c r="H110">
        <v>0</v>
      </c>
      <c r="I110" s="2" t="s">
        <v>201</v>
      </c>
      <c r="J110" s="3">
        <f t="shared" si="2"/>
        <v>0</v>
      </c>
      <c r="K110" s="3">
        <f t="shared" si="3"/>
        <v>0</v>
      </c>
    </row>
    <row r="111" spans="1:11" x14ac:dyDescent="0.25">
      <c r="A111" t="s">
        <v>568</v>
      </c>
      <c r="B111" t="s">
        <v>188</v>
      </c>
      <c r="C111" t="s">
        <v>193</v>
      </c>
      <c r="D111">
        <v>13.12</v>
      </c>
      <c r="E111">
        <v>13.12</v>
      </c>
      <c r="F111" s="1">
        <v>45849</v>
      </c>
      <c r="G111">
        <v>0</v>
      </c>
      <c r="H111">
        <v>0</v>
      </c>
      <c r="I111" s="2" t="s">
        <v>201</v>
      </c>
      <c r="J111" s="3">
        <f t="shared" si="2"/>
        <v>0</v>
      </c>
      <c r="K111" s="3">
        <f t="shared" si="3"/>
        <v>0</v>
      </c>
    </row>
    <row r="112" spans="1:11" x14ac:dyDescent="0.25">
      <c r="A112" t="s">
        <v>575</v>
      </c>
      <c r="B112" t="s">
        <v>188</v>
      </c>
      <c r="C112" t="s">
        <v>568</v>
      </c>
      <c r="D112">
        <v>13.12</v>
      </c>
      <c r="E112">
        <v>13.12</v>
      </c>
      <c r="F112" s="1">
        <v>45849</v>
      </c>
      <c r="G112">
        <v>0</v>
      </c>
      <c r="H112">
        <v>0</v>
      </c>
      <c r="I112" s="2" t="s">
        <v>201</v>
      </c>
      <c r="J112" s="3">
        <f t="shared" si="2"/>
        <v>0</v>
      </c>
      <c r="K112" s="3">
        <f t="shared" si="3"/>
        <v>0</v>
      </c>
    </row>
    <row r="113" spans="1:11" x14ac:dyDescent="0.25">
      <c r="A113" t="s">
        <v>568</v>
      </c>
      <c r="B113" t="s">
        <v>188</v>
      </c>
      <c r="C113" t="s">
        <v>193</v>
      </c>
      <c r="D113">
        <v>13.13</v>
      </c>
      <c r="E113">
        <v>13.13</v>
      </c>
      <c r="F113" s="1">
        <v>45849</v>
      </c>
      <c r="G113">
        <v>0</v>
      </c>
      <c r="H113">
        <v>0</v>
      </c>
      <c r="I113" s="2" t="s">
        <v>201</v>
      </c>
      <c r="J113" s="3">
        <f t="shared" si="2"/>
        <v>0</v>
      </c>
      <c r="K113" s="3">
        <f t="shared" si="3"/>
        <v>0</v>
      </c>
    </row>
    <row r="114" spans="1:11" x14ac:dyDescent="0.25">
      <c r="A114" t="s">
        <v>582</v>
      </c>
      <c r="B114" t="s">
        <v>188</v>
      </c>
      <c r="C114" t="s">
        <v>568</v>
      </c>
      <c r="D114">
        <v>13.13</v>
      </c>
      <c r="E114">
        <v>13.13</v>
      </c>
      <c r="F114" s="1">
        <v>45849</v>
      </c>
      <c r="G114">
        <v>0</v>
      </c>
      <c r="H114">
        <v>0</v>
      </c>
      <c r="I114" s="2" t="s">
        <v>201</v>
      </c>
      <c r="J114" s="3">
        <f t="shared" si="2"/>
        <v>0</v>
      </c>
      <c r="K114" s="3">
        <f t="shared" si="3"/>
        <v>0</v>
      </c>
    </row>
    <row r="115" spans="1:11" x14ac:dyDescent="0.25">
      <c r="A115" t="s">
        <v>568</v>
      </c>
      <c r="B115" t="s">
        <v>188</v>
      </c>
      <c r="C115" t="s">
        <v>193</v>
      </c>
      <c r="D115">
        <v>13.14</v>
      </c>
      <c r="E115">
        <v>13.14</v>
      </c>
      <c r="F115" s="1">
        <v>45849</v>
      </c>
      <c r="G115">
        <v>0</v>
      </c>
      <c r="H115">
        <v>0</v>
      </c>
      <c r="I115" s="2" t="s">
        <v>201</v>
      </c>
      <c r="J115" s="3">
        <f t="shared" si="2"/>
        <v>0</v>
      </c>
      <c r="K115" s="3">
        <f t="shared" si="3"/>
        <v>0</v>
      </c>
    </row>
    <row r="116" spans="1:11" x14ac:dyDescent="0.25">
      <c r="A116" t="s">
        <v>589</v>
      </c>
      <c r="B116" t="s">
        <v>188</v>
      </c>
      <c r="C116" t="s">
        <v>568</v>
      </c>
      <c r="D116">
        <v>13.14</v>
      </c>
      <c r="E116">
        <v>13.14</v>
      </c>
      <c r="F116" s="1">
        <v>45849</v>
      </c>
      <c r="G116">
        <v>0</v>
      </c>
      <c r="H116">
        <v>0</v>
      </c>
      <c r="I116" s="2" t="s">
        <v>201</v>
      </c>
      <c r="J116" s="3">
        <f t="shared" si="2"/>
        <v>0</v>
      </c>
      <c r="K116" s="3">
        <f t="shared" si="3"/>
        <v>0</v>
      </c>
    </row>
    <row r="117" spans="1:11" x14ac:dyDescent="0.25">
      <c r="A117" t="s">
        <v>568</v>
      </c>
      <c r="B117" t="s">
        <v>188</v>
      </c>
      <c r="C117" t="s">
        <v>193</v>
      </c>
      <c r="D117">
        <v>13.15</v>
      </c>
      <c r="E117">
        <v>13.15</v>
      </c>
      <c r="F117" s="1">
        <v>45849</v>
      </c>
      <c r="G117">
        <v>0</v>
      </c>
      <c r="H117">
        <v>0</v>
      </c>
      <c r="I117" s="2" t="s">
        <v>201</v>
      </c>
      <c r="J117" s="3">
        <f t="shared" si="2"/>
        <v>0</v>
      </c>
      <c r="K117" s="3">
        <f t="shared" si="3"/>
        <v>0</v>
      </c>
    </row>
    <row r="118" spans="1:11" x14ac:dyDescent="0.25">
      <c r="A118" t="s">
        <v>596</v>
      </c>
      <c r="B118" t="s">
        <v>188</v>
      </c>
      <c r="C118" t="s">
        <v>568</v>
      </c>
      <c r="D118">
        <v>13.15</v>
      </c>
      <c r="E118">
        <v>13.15</v>
      </c>
      <c r="F118" s="1">
        <v>45849</v>
      </c>
      <c r="G118">
        <v>0</v>
      </c>
      <c r="H118">
        <v>0</v>
      </c>
      <c r="I118" s="2" t="s">
        <v>201</v>
      </c>
      <c r="J118" s="3">
        <f t="shared" si="2"/>
        <v>0</v>
      </c>
      <c r="K118" s="3">
        <f t="shared" si="3"/>
        <v>0</v>
      </c>
    </row>
    <row r="119" spans="1:11" x14ac:dyDescent="0.25">
      <c r="A119" t="s">
        <v>193</v>
      </c>
      <c r="B119" t="s">
        <v>188</v>
      </c>
      <c r="C119" t="s">
        <v>682</v>
      </c>
      <c r="D119">
        <v>0.46</v>
      </c>
      <c r="E119">
        <v>0.46</v>
      </c>
      <c r="F119" s="1">
        <v>45849</v>
      </c>
      <c r="G119">
        <v>0</v>
      </c>
      <c r="H119">
        <v>0</v>
      </c>
      <c r="I119" s="2" t="s">
        <v>201</v>
      </c>
      <c r="J119" s="3">
        <f t="shared" si="2"/>
        <v>0</v>
      </c>
      <c r="K119" s="3">
        <f t="shared" si="3"/>
        <v>0</v>
      </c>
    </row>
    <row r="120" spans="1:11" x14ac:dyDescent="0.25">
      <c r="A120" t="s">
        <v>596</v>
      </c>
      <c r="B120" t="s">
        <v>188</v>
      </c>
      <c r="C120" t="s">
        <v>193</v>
      </c>
      <c r="D120">
        <v>14.11</v>
      </c>
      <c r="E120">
        <v>14.11</v>
      </c>
      <c r="F120" s="1">
        <v>45890</v>
      </c>
      <c r="G120">
        <v>0</v>
      </c>
      <c r="H120">
        <v>0</v>
      </c>
      <c r="I120" s="2" t="s">
        <v>201</v>
      </c>
      <c r="J120" s="3">
        <f t="shared" si="2"/>
        <v>0</v>
      </c>
      <c r="K120" s="3">
        <f t="shared" si="3"/>
        <v>0</v>
      </c>
    </row>
    <row r="121" spans="1:11" x14ac:dyDescent="0.25">
      <c r="A121" t="s">
        <v>611</v>
      </c>
      <c r="B121" t="s">
        <v>188</v>
      </c>
      <c r="C121" t="s">
        <v>193</v>
      </c>
      <c r="D121">
        <v>14.12</v>
      </c>
      <c r="E121">
        <v>14.12</v>
      </c>
      <c r="F121" s="1">
        <v>45891</v>
      </c>
      <c r="G121">
        <v>0</v>
      </c>
      <c r="H121">
        <v>0</v>
      </c>
      <c r="I121" s="2" t="s">
        <v>201</v>
      </c>
      <c r="J121" s="3">
        <f t="shared" si="2"/>
        <v>0</v>
      </c>
      <c r="K121" s="3">
        <f t="shared" si="3"/>
        <v>0</v>
      </c>
    </row>
    <row r="122" spans="1:11" x14ac:dyDescent="0.25">
      <c r="A122" t="s">
        <v>619</v>
      </c>
      <c r="B122" t="s">
        <v>188</v>
      </c>
      <c r="C122" t="s">
        <v>193</v>
      </c>
      <c r="D122">
        <v>14.13</v>
      </c>
      <c r="E122">
        <v>14.13</v>
      </c>
      <c r="F122" s="1">
        <v>45892</v>
      </c>
      <c r="G122">
        <v>0</v>
      </c>
      <c r="H122">
        <v>0</v>
      </c>
      <c r="I122" s="2" t="s">
        <v>201</v>
      </c>
      <c r="J122" s="3">
        <f t="shared" si="2"/>
        <v>0</v>
      </c>
      <c r="K122" s="3">
        <f t="shared" si="3"/>
        <v>0</v>
      </c>
    </row>
    <row r="123" spans="1:11" x14ac:dyDescent="0.25">
      <c r="A123" t="s">
        <v>627</v>
      </c>
      <c r="B123" t="s">
        <v>188</v>
      </c>
      <c r="C123" t="s">
        <v>193</v>
      </c>
      <c r="D123">
        <v>14.14</v>
      </c>
      <c r="E123">
        <v>14.14</v>
      </c>
      <c r="F123" s="1">
        <v>45893</v>
      </c>
      <c r="G123">
        <v>0</v>
      </c>
      <c r="H123">
        <v>0</v>
      </c>
      <c r="I123" s="2" t="s">
        <v>201</v>
      </c>
      <c r="J123" s="3">
        <f t="shared" si="2"/>
        <v>0</v>
      </c>
      <c r="K123" s="3">
        <f t="shared" si="3"/>
        <v>0</v>
      </c>
    </row>
    <row r="124" spans="1:11" x14ac:dyDescent="0.25">
      <c r="A124" t="s">
        <v>635</v>
      </c>
      <c r="B124" t="s">
        <v>188</v>
      </c>
      <c r="C124" t="s">
        <v>193</v>
      </c>
      <c r="D124">
        <v>14.15</v>
      </c>
      <c r="E124">
        <v>14.15</v>
      </c>
      <c r="F124" s="1">
        <v>45894</v>
      </c>
      <c r="G124">
        <v>0</v>
      </c>
      <c r="H124">
        <v>0</v>
      </c>
      <c r="I124" s="2" t="s">
        <v>201</v>
      </c>
      <c r="J124" s="3">
        <f t="shared" si="2"/>
        <v>0</v>
      </c>
      <c r="K124" s="3">
        <f t="shared" si="3"/>
        <v>0</v>
      </c>
    </row>
    <row r="125" spans="1:11" x14ac:dyDescent="0.25">
      <c r="A125" t="s">
        <v>193</v>
      </c>
      <c r="B125" t="s">
        <v>188</v>
      </c>
      <c r="C125" t="s">
        <v>475</v>
      </c>
      <c r="D125">
        <v>0.01</v>
      </c>
      <c r="E125">
        <v>0.01</v>
      </c>
      <c r="F125" s="1">
        <v>45849</v>
      </c>
      <c r="G125">
        <v>0</v>
      </c>
      <c r="H125">
        <v>0</v>
      </c>
      <c r="I125" s="2" t="s">
        <v>201</v>
      </c>
      <c r="J125" s="3">
        <f t="shared" si="2"/>
        <v>0</v>
      </c>
      <c r="K125" s="3">
        <f t="shared" si="3"/>
        <v>0</v>
      </c>
    </row>
    <row r="126" spans="1:11" x14ac:dyDescent="0.25">
      <c r="A126" t="s">
        <v>193</v>
      </c>
      <c r="B126" t="s">
        <v>188</v>
      </c>
      <c r="C126" t="s">
        <v>475</v>
      </c>
      <c r="D126">
        <v>0.13</v>
      </c>
      <c r="E126">
        <v>0.13</v>
      </c>
      <c r="F126" s="1">
        <v>45849</v>
      </c>
      <c r="G126">
        <v>0</v>
      </c>
      <c r="H126">
        <v>0</v>
      </c>
      <c r="I126" s="2" t="s">
        <v>201</v>
      </c>
      <c r="J126" s="3">
        <f t="shared" si="2"/>
        <v>0</v>
      </c>
      <c r="K126" s="3">
        <f t="shared" si="3"/>
        <v>0</v>
      </c>
    </row>
    <row r="127" spans="1:11" x14ac:dyDescent="0.25">
      <c r="A127" t="s">
        <v>193</v>
      </c>
      <c r="B127" t="s">
        <v>188</v>
      </c>
      <c r="C127" t="s">
        <v>475</v>
      </c>
      <c r="D127">
        <v>0.09</v>
      </c>
      <c r="E127">
        <v>0.09</v>
      </c>
      <c r="F127" s="1">
        <v>45849</v>
      </c>
      <c r="G127">
        <v>0</v>
      </c>
      <c r="H127">
        <v>0</v>
      </c>
      <c r="I127" s="2" t="s">
        <v>201</v>
      </c>
      <c r="J127" s="3">
        <f t="shared" si="2"/>
        <v>0</v>
      </c>
      <c r="K127" s="3">
        <f t="shared" si="3"/>
        <v>0</v>
      </c>
    </row>
    <row r="128" spans="1:11" x14ac:dyDescent="0.25">
      <c r="A128" t="s">
        <v>193</v>
      </c>
      <c r="B128" t="s">
        <v>188</v>
      </c>
      <c r="C128" t="s">
        <v>475</v>
      </c>
      <c r="D128">
        <v>0.21</v>
      </c>
      <c r="E128">
        <v>0.21</v>
      </c>
      <c r="F128" s="1">
        <v>45849</v>
      </c>
      <c r="G128">
        <v>0</v>
      </c>
      <c r="H128">
        <v>0</v>
      </c>
      <c r="I128" s="2" t="s">
        <v>201</v>
      </c>
      <c r="J128" s="3">
        <f t="shared" si="2"/>
        <v>0</v>
      </c>
      <c r="K128" s="3">
        <f t="shared" si="3"/>
        <v>0</v>
      </c>
    </row>
    <row r="129" spans="1:11" x14ac:dyDescent="0.25">
      <c r="A129" t="s">
        <v>193</v>
      </c>
      <c r="B129" t="s">
        <v>188</v>
      </c>
      <c r="C129" t="s">
        <v>475</v>
      </c>
      <c r="D129">
        <v>0.02</v>
      </c>
      <c r="E129">
        <v>0.02</v>
      </c>
      <c r="F129" s="1">
        <v>45849</v>
      </c>
      <c r="G129">
        <v>0</v>
      </c>
      <c r="H129">
        <v>0</v>
      </c>
      <c r="I129" s="2" t="s">
        <v>201</v>
      </c>
      <c r="J129" s="3">
        <f t="shared" si="2"/>
        <v>0</v>
      </c>
      <c r="K129" s="3">
        <f t="shared" si="3"/>
        <v>0</v>
      </c>
    </row>
    <row r="130" spans="1:11" x14ac:dyDescent="0.25">
      <c r="A130" t="s">
        <v>193</v>
      </c>
      <c r="B130" t="s">
        <v>188</v>
      </c>
      <c r="C130" t="s">
        <v>475</v>
      </c>
      <c r="D130">
        <v>15.92</v>
      </c>
      <c r="E130">
        <v>15.92</v>
      </c>
      <c r="F130" s="1">
        <v>45849</v>
      </c>
      <c r="G130">
        <v>0</v>
      </c>
      <c r="H130">
        <v>0</v>
      </c>
      <c r="I130" s="2" t="s">
        <v>201</v>
      </c>
      <c r="J130" s="3">
        <f t="shared" si="2"/>
        <v>0</v>
      </c>
      <c r="K130" s="3">
        <f t="shared" si="3"/>
        <v>0</v>
      </c>
    </row>
    <row r="131" spans="1:11" x14ac:dyDescent="0.25">
      <c r="A131" t="s">
        <v>193</v>
      </c>
      <c r="B131" t="s">
        <v>188</v>
      </c>
      <c r="C131" t="s">
        <v>475</v>
      </c>
      <c r="D131">
        <v>15.93</v>
      </c>
      <c r="E131">
        <v>15.93</v>
      </c>
      <c r="F131" s="1">
        <v>45849</v>
      </c>
      <c r="G131">
        <v>0</v>
      </c>
      <c r="H131">
        <v>0</v>
      </c>
      <c r="I131" s="2" t="s">
        <v>201</v>
      </c>
      <c r="J131" s="3">
        <f t="shared" ref="J131:J155" si="4">E131-D131</f>
        <v>0</v>
      </c>
      <c r="K131" s="3">
        <f t="shared" ref="K131:K155" si="5">H131-G131</f>
        <v>0</v>
      </c>
    </row>
    <row r="132" spans="1:11" x14ac:dyDescent="0.25">
      <c r="A132" t="s">
        <v>193</v>
      </c>
      <c r="B132" t="s">
        <v>188</v>
      </c>
      <c r="C132" t="s">
        <v>475</v>
      </c>
      <c r="D132">
        <v>9.58</v>
      </c>
      <c r="E132">
        <v>9.58</v>
      </c>
      <c r="F132" s="1">
        <v>45849</v>
      </c>
      <c r="G132">
        <v>0</v>
      </c>
      <c r="H132">
        <v>0</v>
      </c>
      <c r="I132" s="2" t="s">
        <v>201</v>
      </c>
      <c r="J132" s="3">
        <f t="shared" si="4"/>
        <v>0</v>
      </c>
      <c r="K132" s="3">
        <f t="shared" si="5"/>
        <v>0</v>
      </c>
    </row>
    <row r="133" spans="1:11" x14ac:dyDescent="0.25">
      <c r="A133" t="s">
        <v>193</v>
      </c>
      <c r="B133" t="s">
        <v>188</v>
      </c>
      <c r="C133" t="s">
        <v>475</v>
      </c>
      <c r="D133">
        <v>14.35</v>
      </c>
      <c r="E133">
        <v>14.35</v>
      </c>
      <c r="F133" s="1">
        <v>45849</v>
      </c>
      <c r="G133">
        <v>0</v>
      </c>
      <c r="H133">
        <v>0</v>
      </c>
      <c r="I133" s="2" t="s">
        <v>201</v>
      </c>
      <c r="J133" s="3">
        <f t="shared" si="4"/>
        <v>0</v>
      </c>
      <c r="K133" s="3">
        <f t="shared" si="5"/>
        <v>0</v>
      </c>
    </row>
    <row r="134" spans="1:11" x14ac:dyDescent="0.25">
      <c r="A134" t="s">
        <v>193</v>
      </c>
      <c r="B134" t="s">
        <v>188</v>
      </c>
      <c r="C134" t="s">
        <v>475</v>
      </c>
      <c r="D134">
        <v>24.12</v>
      </c>
      <c r="E134">
        <v>24.12</v>
      </c>
      <c r="F134" s="1">
        <v>45849</v>
      </c>
      <c r="G134">
        <v>0</v>
      </c>
      <c r="H134">
        <v>0</v>
      </c>
      <c r="I134" s="2" t="s">
        <v>201</v>
      </c>
      <c r="J134" s="3">
        <f t="shared" si="4"/>
        <v>0</v>
      </c>
      <c r="K134" s="3">
        <f t="shared" si="5"/>
        <v>0</v>
      </c>
    </row>
    <row r="135" spans="1:11" x14ac:dyDescent="0.25">
      <c r="A135" t="s">
        <v>193</v>
      </c>
      <c r="B135" t="s">
        <v>188</v>
      </c>
      <c r="C135" t="s">
        <v>476</v>
      </c>
      <c r="D135">
        <v>0.01</v>
      </c>
      <c r="E135">
        <v>0.01</v>
      </c>
      <c r="F135" s="1">
        <v>45849</v>
      </c>
      <c r="G135">
        <v>0</v>
      </c>
      <c r="H135">
        <v>0</v>
      </c>
      <c r="I135" s="2" t="s">
        <v>201</v>
      </c>
      <c r="J135" s="3">
        <f t="shared" si="4"/>
        <v>0</v>
      </c>
      <c r="K135" s="3">
        <f t="shared" si="5"/>
        <v>0</v>
      </c>
    </row>
    <row r="136" spans="1:11" x14ac:dyDescent="0.25">
      <c r="A136" t="s">
        <v>193</v>
      </c>
      <c r="B136" t="s">
        <v>188</v>
      </c>
      <c r="C136" t="s">
        <v>476</v>
      </c>
      <c r="D136">
        <v>0.13</v>
      </c>
      <c r="E136">
        <v>0.13</v>
      </c>
      <c r="F136" s="1">
        <v>45849</v>
      </c>
      <c r="G136">
        <v>0</v>
      </c>
      <c r="H136">
        <v>0</v>
      </c>
      <c r="I136" s="2" t="s">
        <v>201</v>
      </c>
      <c r="J136" s="3">
        <f t="shared" si="4"/>
        <v>0</v>
      </c>
      <c r="K136" s="3">
        <f t="shared" si="5"/>
        <v>0</v>
      </c>
    </row>
    <row r="137" spans="1:11" x14ac:dyDescent="0.25">
      <c r="A137" t="s">
        <v>193</v>
      </c>
      <c r="B137" t="s">
        <v>188</v>
      </c>
      <c r="C137" t="s">
        <v>476</v>
      </c>
      <c r="D137">
        <v>0.09</v>
      </c>
      <c r="E137">
        <v>0.09</v>
      </c>
      <c r="F137" s="1">
        <v>45849</v>
      </c>
      <c r="G137">
        <v>0</v>
      </c>
      <c r="H137">
        <v>0</v>
      </c>
      <c r="I137" s="2" t="s">
        <v>201</v>
      </c>
      <c r="J137" s="3">
        <f t="shared" si="4"/>
        <v>0</v>
      </c>
      <c r="K137" s="3">
        <f t="shared" si="5"/>
        <v>0</v>
      </c>
    </row>
    <row r="138" spans="1:11" x14ac:dyDescent="0.25">
      <c r="A138" t="s">
        <v>193</v>
      </c>
      <c r="B138" t="s">
        <v>188</v>
      </c>
      <c r="C138" t="s">
        <v>476</v>
      </c>
      <c r="D138">
        <v>0.21</v>
      </c>
      <c r="E138">
        <v>0.21</v>
      </c>
      <c r="F138" s="1">
        <v>45849</v>
      </c>
      <c r="G138">
        <v>0</v>
      </c>
      <c r="H138">
        <v>0</v>
      </c>
      <c r="I138" s="2" t="s">
        <v>201</v>
      </c>
      <c r="J138" s="3">
        <f t="shared" si="4"/>
        <v>0</v>
      </c>
      <c r="K138" s="3">
        <f t="shared" si="5"/>
        <v>0</v>
      </c>
    </row>
    <row r="139" spans="1:11" x14ac:dyDescent="0.25">
      <c r="A139" t="s">
        <v>193</v>
      </c>
      <c r="B139" t="s">
        <v>188</v>
      </c>
      <c r="C139" t="s">
        <v>476</v>
      </c>
      <c r="D139">
        <v>0.02</v>
      </c>
      <c r="E139">
        <v>0.02</v>
      </c>
      <c r="F139" s="1">
        <v>45849</v>
      </c>
      <c r="G139">
        <v>0</v>
      </c>
      <c r="H139">
        <v>0</v>
      </c>
      <c r="I139" s="2" t="s">
        <v>201</v>
      </c>
      <c r="J139" s="3">
        <f t="shared" si="4"/>
        <v>0</v>
      </c>
      <c r="K139" s="3">
        <f t="shared" si="5"/>
        <v>0</v>
      </c>
    </row>
    <row r="140" spans="1:11" x14ac:dyDescent="0.25">
      <c r="A140" t="s">
        <v>193</v>
      </c>
      <c r="B140" t="s">
        <v>188</v>
      </c>
      <c r="C140" t="s">
        <v>476</v>
      </c>
      <c r="D140">
        <v>15.92</v>
      </c>
      <c r="E140">
        <v>15.92</v>
      </c>
      <c r="F140" s="1">
        <v>45849</v>
      </c>
      <c r="G140">
        <v>0</v>
      </c>
      <c r="H140">
        <v>0</v>
      </c>
      <c r="I140" s="2" t="s">
        <v>201</v>
      </c>
      <c r="J140" s="3">
        <f t="shared" si="4"/>
        <v>0</v>
      </c>
      <c r="K140" s="3">
        <f t="shared" si="5"/>
        <v>0</v>
      </c>
    </row>
    <row r="141" spans="1:11" x14ac:dyDescent="0.25">
      <c r="A141" t="s">
        <v>193</v>
      </c>
      <c r="B141" t="s">
        <v>188</v>
      </c>
      <c r="C141" t="s">
        <v>476</v>
      </c>
      <c r="D141">
        <v>15.93</v>
      </c>
      <c r="E141">
        <v>15.93</v>
      </c>
      <c r="F141" s="1">
        <v>45849</v>
      </c>
      <c r="G141">
        <v>0</v>
      </c>
      <c r="H141">
        <v>0</v>
      </c>
      <c r="I141" s="2" t="s">
        <v>201</v>
      </c>
      <c r="J141" s="3">
        <f t="shared" si="4"/>
        <v>0</v>
      </c>
      <c r="K141" s="3">
        <f t="shared" si="5"/>
        <v>0</v>
      </c>
    </row>
    <row r="142" spans="1:11" x14ac:dyDescent="0.25">
      <c r="A142" t="s">
        <v>193</v>
      </c>
      <c r="B142" t="s">
        <v>188</v>
      </c>
      <c r="C142" t="s">
        <v>476</v>
      </c>
      <c r="D142">
        <v>9.58</v>
      </c>
      <c r="E142">
        <v>9.58</v>
      </c>
      <c r="F142" s="1">
        <v>45849</v>
      </c>
      <c r="G142">
        <v>0</v>
      </c>
      <c r="H142">
        <v>0</v>
      </c>
      <c r="I142" s="2" t="s">
        <v>201</v>
      </c>
      <c r="J142" s="3">
        <f t="shared" si="4"/>
        <v>0</v>
      </c>
      <c r="K142" s="3">
        <f t="shared" si="5"/>
        <v>0</v>
      </c>
    </row>
    <row r="143" spans="1:11" x14ac:dyDescent="0.25">
      <c r="A143" t="s">
        <v>193</v>
      </c>
      <c r="B143" t="s">
        <v>188</v>
      </c>
      <c r="C143" t="s">
        <v>476</v>
      </c>
      <c r="D143">
        <v>14.35</v>
      </c>
      <c r="E143">
        <v>14.35</v>
      </c>
      <c r="F143" s="1">
        <v>45849</v>
      </c>
      <c r="G143">
        <v>0</v>
      </c>
      <c r="H143">
        <v>0</v>
      </c>
      <c r="I143" s="2" t="s">
        <v>201</v>
      </c>
      <c r="J143" s="3">
        <f t="shared" si="4"/>
        <v>0</v>
      </c>
      <c r="K143" s="3">
        <f t="shared" si="5"/>
        <v>0</v>
      </c>
    </row>
    <row r="144" spans="1:11" x14ac:dyDescent="0.25">
      <c r="A144" t="s">
        <v>193</v>
      </c>
      <c r="B144" t="s">
        <v>188</v>
      </c>
      <c r="C144" t="s">
        <v>476</v>
      </c>
      <c r="D144">
        <v>24.12</v>
      </c>
      <c r="E144">
        <v>24.12</v>
      </c>
      <c r="F144" s="1">
        <v>45849</v>
      </c>
      <c r="G144">
        <v>0</v>
      </c>
      <c r="H144">
        <v>0</v>
      </c>
      <c r="I144" s="2" t="s">
        <v>201</v>
      </c>
      <c r="J144" s="3">
        <f t="shared" si="4"/>
        <v>0</v>
      </c>
      <c r="K144" s="3">
        <f t="shared" si="5"/>
        <v>0</v>
      </c>
    </row>
    <row r="145" spans="1:11" x14ac:dyDescent="0.25">
      <c r="A145" t="s">
        <v>193</v>
      </c>
      <c r="B145" t="s">
        <v>188</v>
      </c>
      <c r="C145" t="s">
        <v>477</v>
      </c>
      <c r="D145">
        <v>0.01</v>
      </c>
      <c r="E145">
        <v>0.01</v>
      </c>
      <c r="F145" s="1">
        <v>45849</v>
      </c>
      <c r="G145">
        <v>0</v>
      </c>
      <c r="H145">
        <v>0</v>
      </c>
      <c r="I145" s="2" t="s">
        <v>201</v>
      </c>
      <c r="J145" s="3">
        <f t="shared" si="4"/>
        <v>0</v>
      </c>
      <c r="K145" s="3">
        <f t="shared" si="5"/>
        <v>0</v>
      </c>
    </row>
    <row r="146" spans="1:11" x14ac:dyDescent="0.25">
      <c r="A146" t="s">
        <v>193</v>
      </c>
      <c r="B146" t="s">
        <v>188</v>
      </c>
      <c r="C146" t="s">
        <v>477</v>
      </c>
      <c r="D146">
        <v>0.15</v>
      </c>
      <c r="E146">
        <v>0.15</v>
      </c>
      <c r="F146" s="1">
        <v>45849</v>
      </c>
      <c r="G146">
        <v>0</v>
      </c>
      <c r="H146">
        <v>0</v>
      </c>
      <c r="I146" s="2" t="s">
        <v>201</v>
      </c>
      <c r="J146" s="3">
        <f t="shared" si="4"/>
        <v>0</v>
      </c>
      <c r="K146" s="3">
        <f t="shared" si="5"/>
        <v>0</v>
      </c>
    </row>
    <row r="147" spans="1:11" x14ac:dyDescent="0.25">
      <c r="A147" t="s">
        <v>193</v>
      </c>
      <c r="B147" t="s">
        <v>188</v>
      </c>
      <c r="C147" t="s">
        <v>477</v>
      </c>
      <c r="D147">
        <v>0.01</v>
      </c>
      <c r="E147">
        <v>0.01</v>
      </c>
      <c r="F147" s="1">
        <v>45849</v>
      </c>
      <c r="G147">
        <v>0</v>
      </c>
      <c r="H147">
        <v>0</v>
      </c>
      <c r="I147" s="2" t="s">
        <v>201</v>
      </c>
      <c r="J147" s="3">
        <f t="shared" si="4"/>
        <v>0</v>
      </c>
      <c r="K147" s="3">
        <f t="shared" si="5"/>
        <v>0</v>
      </c>
    </row>
    <row r="148" spans="1:11" x14ac:dyDescent="0.25">
      <c r="A148" t="s">
        <v>193</v>
      </c>
      <c r="B148" t="s">
        <v>188</v>
      </c>
      <c r="C148" t="s">
        <v>477</v>
      </c>
      <c r="D148">
        <v>0.22</v>
      </c>
      <c r="E148">
        <v>0.22</v>
      </c>
      <c r="F148" s="1">
        <v>45849</v>
      </c>
      <c r="G148">
        <v>0</v>
      </c>
      <c r="H148">
        <v>0</v>
      </c>
      <c r="I148" s="2" t="s">
        <v>201</v>
      </c>
      <c r="J148" s="3">
        <f t="shared" si="4"/>
        <v>0</v>
      </c>
      <c r="K148" s="3">
        <f t="shared" si="5"/>
        <v>0</v>
      </c>
    </row>
    <row r="149" spans="1:11" x14ac:dyDescent="0.25">
      <c r="A149" t="s">
        <v>193</v>
      </c>
      <c r="B149" t="s">
        <v>188</v>
      </c>
      <c r="C149" t="s">
        <v>477</v>
      </c>
      <c r="D149">
        <v>0.01</v>
      </c>
      <c r="E149">
        <v>0.01</v>
      </c>
      <c r="F149" s="1">
        <v>45849</v>
      </c>
      <c r="G149">
        <v>0</v>
      </c>
      <c r="H149">
        <v>0</v>
      </c>
      <c r="I149" s="2" t="s">
        <v>201</v>
      </c>
      <c r="J149" s="3">
        <f t="shared" si="4"/>
        <v>0</v>
      </c>
      <c r="K149" s="3">
        <f t="shared" si="5"/>
        <v>0</v>
      </c>
    </row>
    <row r="150" spans="1:11" x14ac:dyDescent="0.25">
      <c r="A150" t="s">
        <v>193</v>
      </c>
      <c r="B150" t="s">
        <v>188</v>
      </c>
      <c r="C150" t="s">
        <v>477</v>
      </c>
      <c r="D150">
        <v>2.65</v>
      </c>
      <c r="E150">
        <v>2.65</v>
      </c>
      <c r="F150" s="1">
        <v>45849</v>
      </c>
      <c r="G150">
        <v>0</v>
      </c>
      <c r="H150">
        <v>0</v>
      </c>
      <c r="I150" s="2" t="s">
        <v>201</v>
      </c>
      <c r="J150" s="3">
        <f t="shared" si="4"/>
        <v>0</v>
      </c>
      <c r="K150" s="3">
        <f t="shared" si="5"/>
        <v>0</v>
      </c>
    </row>
    <row r="151" spans="1:11" x14ac:dyDescent="0.25">
      <c r="A151" t="s">
        <v>193</v>
      </c>
      <c r="B151" t="s">
        <v>188</v>
      </c>
      <c r="C151" t="s">
        <v>477</v>
      </c>
      <c r="D151">
        <v>2.65</v>
      </c>
      <c r="E151">
        <v>2.65</v>
      </c>
      <c r="F151" s="1">
        <v>45849</v>
      </c>
      <c r="G151">
        <v>0</v>
      </c>
      <c r="H151">
        <v>0</v>
      </c>
      <c r="I151" s="2" t="s">
        <v>201</v>
      </c>
      <c r="J151" s="3">
        <f t="shared" si="4"/>
        <v>0</v>
      </c>
      <c r="K151" s="3">
        <f t="shared" si="5"/>
        <v>0</v>
      </c>
    </row>
    <row r="152" spans="1:11" x14ac:dyDescent="0.25">
      <c r="A152" t="s">
        <v>193</v>
      </c>
      <c r="B152" t="s">
        <v>188</v>
      </c>
      <c r="C152" t="s">
        <v>477</v>
      </c>
      <c r="D152">
        <v>10.64</v>
      </c>
      <c r="E152">
        <v>10.64</v>
      </c>
      <c r="F152" s="1">
        <v>45849</v>
      </c>
      <c r="G152">
        <v>0</v>
      </c>
      <c r="H152">
        <v>0</v>
      </c>
      <c r="I152" s="2" t="s">
        <v>201</v>
      </c>
      <c r="J152" s="3">
        <f t="shared" si="4"/>
        <v>0</v>
      </c>
      <c r="K152" s="3">
        <f t="shared" si="5"/>
        <v>0</v>
      </c>
    </row>
    <row r="153" spans="1:11" x14ac:dyDescent="0.25">
      <c r="A153" t="s">
        <v>193</v>
      </c>
      <c r="B153" t="s">
        <v>188</v>
      </c>
      <c r="C153" t="s">
        <v>477</v>
      </c>
      <c r="D153">
        <v>2.39</v>
      </c>
      <c r="E153">
        <v>2.39</v>
      </c>
      <c r="F153" s="1">
        <v>45849</v>
      </c>
      <c r="G153">
        <v>0</v>
      </c>
      <c r="H153">
        <v>0</v>
      </c>
      <c r="I153" s="2" t="s">
        <v>201</v>
      </c>
      <c r="J153" s="3">
        <f t="shared" si="4"/>
        <v>0</v>
      </c>
      <c r="K153" s="3">
        <f t="shared" si="5"/>
        <v>0</v>
      </c>
    </row>
    <row r="154" spans="1:11" x14ac:dyDescent="0.25">
      <c r="A154" t="s">
        <v>193</v>
      </c>
      <c r="B154" t="s">
        <v>188</v>
      </c>
      <c r="C154" t="s">
        <v>477</v>
      </c>
      <c r="D154">
        <v>26.8</v>
      </c>
      <c r="E154">
        <v>26.8</v>
      </c>
      <c r="F154" s="1">
        <v>45849</v>
      </c>
      <c r="G154">
        <v>0</v>
      </c>
      <c r="H154">
        <v>0</v>
      </c>
      <c r="I154" s="2" t="s">
        <v>201</v>
      </c>
      <c r="J154" s="3">
        <f t="shared" si="4"/>
        <v>0</v>
      </c>
      <c r="K154" s="3">
        <f t="shared" si="5"/>
        <v>0</v>
      </c>
    </row>
    <row r="155" spans="1:11" x14ac:dyDescent="0.25">
      <c r="A155" t="s">
        <v>193</v>
      </c>
      <c r="B155" t="s">
        <v>188</v>
      </c>
      <c r="C155" t="s">
        <v>482</v>
      </c>
      <c r="D155">
        <v>67.89</v>
      </c>
      <c r="E155">
        <v>67.89</v>
      </c>
      <c r="F155" s="1">
        <v>45849</v>
      </c>
      <c r="G155">
        <v>0</v>
      </c>
      <c r="H155">
        <v>0</v>
      </c>
      <c r="I155" s="2" t="s">
        <v>201</v>
      </c>
      <c r="J155" s="3">
        <f t="shared" si="4"/>
        <v>0</v>
      </c>
      <c r="K155" s="3">
        <f t="shared" si="5"/>
        <v>0</v>
      </c>
    </row>
    <row r="157" spans="1:11" x14ac:dyDescent="0.25">
      <c r="J157" s="3">
        <f>SUM(J2:J155)</f>
        <v>6.15</v>
      </c>
      <c r="K157" s="3">
        <f>SUM(K2:K155)</f>
        <v>6.15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367</v>
      </c>
      <c r="B1" t="s">
        <v>743</v>
      </c>
      <c r="C1" t="s">
        <v>159</v>
      </c>
      <c r="D1" t="s">
        <v>738</v>
      </c>
      <c r="E1" t="s">
        <v>744</v>
      </c>
      <c r="F1" t="s">
        <v>739</v>
      </c>
      <c r="G1" t="s">
        <v>740</v>
      </c>
      <c r="H1" t="s">
        <v>154</v>
      </c>
      <c r="I1" t="s">
        <v>741</v>
      </c>
      <c r="J1" t="s">
        <v>742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I16"/>
  <sheetViews>
    <sheetView workbookViewId="0"/>
  </sheetViews>
  <sheetFormatPr defaultRowHeight="15" x14ac:dyDescent="0.25"/>
  <cols>
    <col min="1" max="1" width="16.7109375" bestFit="1" customWidth="1"/>
    <col min="2" max="3" width="18.8554687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4" bestFit="1" customWidth="1"/>
  </cols>
  <sheetData>
    <row r="1" spans="1:9" x14ac:dyDescent="0.25">
      <c r="A1" t="s">
        <v>367</v>
      </c>
      <c r="B1" t="s">
        <v>519</v>
      </c>
      <c r="C1" t="s">
        <v>745</v>
      </c>
      <c r="D1" t="s">
        <v>155</v>
      </c>
      <c r="E1" t="s">
        <v>517</v>
      </c>
      <c r="F1" t="s">
        <v>521</v>
      </c>
      <c r="G1" t="s">
        <v>520</v>
      </c>
      <c r="H1" t="s">
        <v>154</v>
      </c>
      <c r="I1" t="s">
        <v>746</v>
      </c>
    </row>
    <row r="2" spans="1:9" x14ac:dyDescent="0.25">
      <c r="A2" t="s">
        <v>193</v>
      </c>
      <c r="B2" t="s">
        <v>567</v>
      </c>
      <c r="C2" t="s">
        <v>567</v>
      </c>
      <c r="D2" t="s">
        <v>183</v>
      </c>
      <c r="E2" t="s">
        <v>180</v>
      </c>
      <c r="F2" s="1">
        <v>45885</v>
      </c>
      <c r="G2" t="s">
        <v>569</v>
      </c>
      <c r="H2" s="1">
        <v>45849</v>
      </c>
      <c r="I2">
        <v>13.11</v>
      </c>
    </row>
    <row r="3" spans="1:9" x14ac:dyDescent="0.25">
      <c r="A3" t="s">
        <v>193</v>
      </c>
      <c r="B3" t="s">
        <v>575</v>
      </c>
      <c r="C3" t="s">
        <v>575</v>
      </c>
      <c r="D3" t="s">
        <v>183</v>
      </c>
      <c r="E3" t="s">
        <v>180</v>
      </c>
      <c r="F3" s="1">
        <v>45886</v>
      </c>
      <c r="G3" t="s">
        <v>576</v>
      </c>
      <c r="H3" s="1">
        <v>45849</v>
      </c>
      <c r="I3">
        <v>13.12</v>
      </c>
    </row>
    <row r="4" spans="1:9" x14ac:dyDescent="0.25">
      <c r="A4" t="s">
        <v>193</v>
      </c>
      <c r="B4" t="s">
        <v>582</v>
      </c>
      <c r="C4" t="s">
        <v>582</v>
      </c>
      <c r="D4" t="s">
        <v>183</v>
      </c>
      <c r="E4" t="s">
        <v>180</v>
      </c>
      <c r="F4" s="1">
        <v>45887</v>
      </c>
      <c r="G4" t="s">
        <v>583</v>
      </c>
      <c r="H4" s="1">
        <v>45849</v>
      </c>
      <c r="I4">
        <v>13.13</v>
      </c>
    </row>
    <row r="5" spans="1:9" x14ac:dyDescent="0.25">
      <c r="A5" t="s">
        <v>193</v>
      </c>
      <c r="B5" t="s">
        <v>589</v>
      </c>
      <c r="C5" t="s">
        <v>589</v>
      </c>
      <c r="D5" t="s">
        <v>183</v>
      </c>
      <c r="E5" t="s">
        <v>180</v>
      </c>
      <c r="F5" s="1">
        <v>45888</v>
      </c>
      <c r="G5" t="s">
        <v>590</v>
      </c>
      <c r="H5" s="1">
        <v>45849</v>
      </c>
      <c r="I5">
        <v>13.14</v>
      </c>
    </row>
    <row r="6" spans="1:9" x14ac:dyDescent="0.25">
      <c r="A6" t="s">
        <v>193</v>
      </c>
      <c r="B6" t="s">
        <v>596</v>
      </c>
      <c r="C6" t="s">
        <v>596</v>
      </c>
      <c r="D6" t="s">
        <v>183</v>
      </c>
      <c r="E6" t="s">
        <v>180</v>
      </c>
      <c r="F6" s="1">
        <v>45889</v>
      </c>
      <c r="G6" t="s">
        <v>597</v>
      </c>
      <c r="H6" s="1">
        <v>45849</v>
      </c>
      <c r="I6">
        <v>13.15</v>
      </c>
    </row>
    <row r="7" spans="1:9" x14ac:dyDescent="0.25">
      <c r="A7" t="s">
        <v>193</v>
      </c>
      <c r="B7" t="s">
        <v>596</v>
      </c>
      <c r="C7" t="s">
        <v>596</v>
      </c>
      <c r="D7" t="s">
        <v>183</v>
      </c>
      <c r="E7" t="s">
        <v>180</v>
      </c>
      <c r="F7" s="1">
        <v>45890</v>
      </c>
      <c r="G7" t="s">
        <v>604</v>
      </c>
      <c r="H7" s="1">
        <v>45890</v>
      </c>
      <c r="I7">
        <v>14.11</v>
      </c>
    </row>
    <row r="8" spans="1:9" x14ac:dyDescent="0.25">
      <c r="A8" t="s">
        <v>193</v>
      </c>
      <c r="B8" t="s">
        <v>611</v>
      </c>
      <c r="C8" t="s">
        <v>611</v>
      </c>
      <c r="D8" t="s">
        <v>183</v>
      </c>
      <c r="E8" t="s">
        <v>180</v>
      </c>
      <c r="F8" s="1">
        <v>45891</v>
      </c>
      <c r="G8" t="s">
        <v>612</v>
      </c>
      <c r="H8" s="1">
        <v>45891</v>
      </c>
      <c r="I8">
        <v>14.12</v>
      </c>
    </row>
    <row r="9" spans="1:9" x14ac:dyDescent="0.25">
      <c r="A9" t="s">
        <v>193</v>
      </c>
      <c r="B9" t="s">
        <v>619</v>
      </c>
      <c r="C9" t="s">
        <v>619</v>
      </c>
      <c r="D9" t="s">
        <v>183</v>
      </c>
      <c r="E9" t="s">
        <v>180</v>
      </c>
      <c r="F9" s="1">
        <v>45892</v>
      </c>
      <c r="G9" t="s">
        <v>620</v>
      </c>
      <c r="H9" s="1">
        <v>45892</v>
      </c>
      <c r="I9">
        <v>14.13</v>
      </c>
    </row>
    <row r="10" spans="1:9" x14ac:dyDescent="0.25">
      <c r="A10" t="s">
        <v>193</v>
      </c>
      <c r="B10" t="s">
        <v>627</v>
      </c>
      <c r="C10" t="s">
        <v>627</v>
      </c>
      <c r="D10" t="s">
        <v>183</v>
      </c>
      <c r="E10" t="s">
        <v>180</v>
      </c>
      <c r="F10" s="1">
        <v>45893</v>
      </c>
      <c r="G10" t="s">
        <v>628</v>
      </c>
      <c r="H10" s="1">
        <v>45893</v>
      </c>
      <c r="I10">
        <v>14.14</v>
      </c>
    </row>
    <row r="11" spans="1:9" x14ac:dyDescent="0.25">
      <c r="A11" t="s">
        <v>193</v>
      </c>
      <c r="B11" t="s">
        <v>635</v>
      </c>
      <c r="C11" t="s">
        <v>635</v>
      </c>
      <c r="D11" t="s">
        <v>183</v>
      </c>
      <c r="E11" t="s">
        <v>180</v>
      </c>
      <c r="F11" s="1">
        <v>45894</v>
      </c>
      <c r="G11" t="s">
        <v>636</v>
      </c>
      <c r="H11" s="1">
        <v>45894</v>
      </c>
      <c r="I11">
        <v>14.15</v>
      </c>
    </row>
    <row r="12" spans="1:9" x14ac:dyDescent="0.25">
      <c r="A12" t="s">
        <v>193</v>
      </c>
      <c r="B12" t="s">
        <v>526</v>
      </c>
      <c r="C12" t="s">
        <v>526</v>
      </c>
      <c r="D12" t="s">
        <v>183</v>
      </c>
      <c r="E12" t="s">
        <v>180</v>
      </c>
      <c r="F12" s="1">
        <v>45880</v>
      </c>
      <c r="G12" t="s">
        <v>527</v>
      </c>
      <c r="H12" s="1">
        <v>45849</v>
      </c>
      <c r="I12">
        <v>13.32</v>
      </c>
    </row>
    <row r="13" spans="1:9" x14ac:dyDescent="0.25">
      <c r="A13" t="s">
        <v>193</v>
      </c>
      <c r="B13" t="s">
        <v>534</v>
      </c>
      <c r="C13" t="s">
        <v>534</v>
      </c>
      <c r="D13" t="s">
        <v>183</v>
      </c>
      <c r="E13" t="s">
        <v>180</v>
      </c>
      <c r="F13" s="1">
        <v>45881</v>
      </c>
      <c r="G13" t="s">
        <v>535</v>
      </c>
      <c r="H13" s="1">
        <v>45849</v>
      </c>
      <c r="I13">
        <v>13.34</v>
      </c>
    </row>
    <row r="14" spans="1:9" x14ac:dyDescent="0.25">
      <c r="A14" t="s">
        <v>193</v>
      </c>
      <c r="B14" t="s">
        <v>542</v>
      </c>
      <c r="C14" t="s">
        <v>542</v>
      </c>
      <c r="D14" t="s">
        <v>183</v>
      </c>
      <c r="E14" t="s">
        <v>180</v>
      </c>
      <c r="F14" s="1">
        <v>45882</v>
      </c>
      <c r="G14" t="s">
        <v>543</v>
      </c>
      <c r="H14" s="1">
        <v>45849</v>
      </c>
      <c r="I14">
        <v>13.36</v>
      </c>
    </row>
    <row r="15" spans="1:9" x14ac:dyDescent="0.25">
      <c r="A15" t="s">
        <v>193</v>
      </c>
      <c r="B15" t="s">
        <v>550</v>
      </c>
      <c r="C15" t="s">
        <v>550</v>
      </c>
      <c r="D15" t="s">
        <v>183</v>
      </c>
      <c r="E15" t="s">
        <v>180</v>
      </c>
      <c r="F15" s="1">
        <v>45883</v>
      </c>
      <c r="G15" t="s">
        <v>551</v>
      </c>
      <c r="H15" s="1">
        <v>45849</v>
      </c>
      <c r="I15">
        <v>13.38</v>
      </c>
    </row>
    <row r="16" spans="1:9" x14ac:dyDescent="0.25">
      <c r="A16" t="s">
        <v>193</v>
      </c>
      <c r="B16" t="s">
        <v>558</v>
      </c>
      <c r="C16" t="s">
        <v>558</v>
      </c>
      <c r="D16" t="s">
        <v>183</v>
      </c>
      <c r="E16" t="s">
        <v>180</v>
      </c>
      <c r="F16" s="1">
        <v>45884</v>
      </c>
      <c r="G16" t="s">
        <v>559</v>
      </c>
      <c r="H16" s="1">
        <v>45849</v>
      </c>
      <c r="I16">
        <v>13.4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A6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213</v>
      </c>
    </row>
    <row r="2" spans="1:1" x14ac:dyDescent="0.25">
      <c r="A2">
        <v>1.012</v>
      </c>
    </row>
    <row r="3" spans="1:1" x14ac:dyDescent="0.25">
      <c r="A3">
        <v>1.103</v>
      </c>
    </row>
    <row r="4" spans="1:1" x14ac:dyDescent="0.25">
      <c r="A4">
        <v>1.105</v>
      </c>
    </row>
    <row r="5" spans="1:1" x14ac:dyDescent="0.25">
      <c r="A5">
        <v>1</v>
      </c>
    </row>
    <row r="6" spans="1:1" x14ac:dyDescent="0.25">
      <c r="A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H12"/>
  <sheetViews>
    <sheetView workbookViewId="0">
      <selection activeCell="D13" sqref="D13"/>
    </sheetView>
  </sheetViews>
  <sheetFormatPr defaultRowHeight="15" x14ac:dyDescent="0.25"/>
  <cols>
    <col min="1" max="1" width="8" bestFit="1" customWidth="1"/>
    <col min="2" max="2" width="11" bestFit="1" customWidth="1"/>
    <col min="3" max="3" width="17" bestFit="1" customWidth="1"/>
    <col min="4" max="4" width="21.5703125" bestFit="1" customWidth="1"/>
    <col min="5" max="5" width="17" bestFit="1" customWidth="1"/>
    <col min="6" max="6" width="11.85546875" bestFit="1" customWidth="1"/>
    <col min="7" max="7" width="16.85546875" bestFit="1" customWidth="1"/>
    <col min="8" max="8" width="13.7109375" bestFit="1" customWidth="1"/>
  </cols>
  <sheetData>
    <row r="1" spans="1:8" x14ac:dyDescent="0.25">
      <c r="A1" t="s">
        <v>373</v>
      </c>
      <c r="B1" t="s">
        <v>375</v>
      </c>
      <c r="C1" t="s">
        <v>237</v>
      </c>
      <c r="D1" t="s">
        <v>236</v>
      </c>
      <c r="E1" t="s">
        <v>235</v>
      </c>
      <c r="F1" t="s">
        <v>234</v>
      </c>
      <c r="G1" t="s">
        <v>747</v>
      </c>
      <c r="H1" t="s">
        <v>748</v>
      </c>
    </row>
    <row r="2" spans="1:8" x14ac:dyDescent="0.25">
      <c r="A2" s="2">
        <v>8.9</v>
      </c>
      <c r="B2" s="2">
        <v>14.77</v>
      </c>
      <c r="C2">
        <v>15.59</v>
      </c>
      <c r="D2">
        <v>280.87</v>
      </c>
      <c r="E2">
        <v>250.11</v>
      </c>
      <c r="F2">
        <v>1</v>
      </c>
      <c r="G2">
        <v>0</v>
      </c>
      <c r="H2">
        <v>0</v>
      </c>
    </row>
    <row r="3" spans="1:8" x14ac:dyDescent="0.25">
      <c r="A3" s="2">
        <v>8.91</v>
      </c>
      <c r="B3" s="2">
        <v>14.79</v>
      </c>
      <c r="C3">
        <v>15.65</v>
      </c>
      <c r="D3">
        <v>281.13</v>
      </c>
      <c r="E3">
        <v>250.12</v>
      </c>
      <c r="F3">
        <v>1</v>
      </c>
      <c r="G3">
        <v>0</v>
      </c>
      <c r="H3">
        <v>0</v>
      </c>
    </row>
    <row r="4" spans="1:8" x14ac:dyDescent="0.25">
      <c r="A4" s="2">
        <v>3.57</v>
      </c>
      <c r="B4" s="2">
        <v>5.93</v>
      </c>
      <c r="C4" s="2">
        <v>6.32</v>
      </c>
      <c r="D4">
        <v>112.75</v>
      </c>
      <c r="E4">
        <v>100.13</v>
      </c>
      <c r="F4">
        <v>1</v>
      </c>
      <c r="G4">
        <v>0</v>
      </c>
      <c r="H4">
        <v>0</v>
      </c>
    </row>
    <row r="5" spans="1:8" x14ac:dyDescent="0.25">
      <c r="A5" s="2">
        <v>7.93</v>
      </c>
      <c r="B5" s="2">
        <v>13.16</v>
      </c>
      <c r="C5">
        <v>11.04</v>
      </c>
      <c r="D5">
        <v>250.14</v>
      </c>
      <c r="E5">
        <v>250.14</v>
      </c>
      <c r="F5">
        <v>1</v>
      </c>
      <c r="G5">
        <v>0</v>
      </c>
      <c r="H5">
        <v>0</v>
      </c>
    </row>
    <row r="6" spans="1:8" x14ac:dyDescent="0.25">
      <c r="A6" s="2">
        <v>0</v>
      </c>
      <c r="B6" s="2">
        <v>0</v>
      </c>
      <c r="C6">
        <v>0</v>
      </c>
      <c r="D6">
        <v>0</v>
      </c>
      <c r="E6">
        <v>250.14</v>
      </c>
      <c r="F6">
        <v>1</v>
      </c>
      <c r="G6">
        <v>0</v>
      </c>
      <c r="H6">
        <v>0</v>
      </c>
    </row>
    <row r="7" spans="1:8" x14ac:dyDescent="0.25">
      <c r="A7" s="2">
        <v>8.8800000000000008</v>
      </c>
      <c r="B7" s="2">
        <v>14.74</v>
      </c>
      <c r="C7">
        <v>12.21</v>
      </c>
      <c r="D7">
        <v>280.17</v>
      </c>
      <c r="E7">
        <v>250.15</v>
      </c>
      <c r="F7">
        <v>1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1.49</v>
      </c>
      <c r="E8">
        <v>0</v>
      </c>
      <c r="F8">
        <v>1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1.45</v>
      </c>
      <c r="E9">
        <v>0</v>
      </c>
      <c r="F9">
        <v>1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1.46</v>
      </c>
      <c r="E10">
        <v>0</v>
      </c>
      <c r="F10">
        <v>1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1.47</v>
      </c>
      <c r="E11">
        <v>0</v>
      </c>
      <c r="F11">
        <v>1</v>
      </c>
      <c r="G11">
        <v>0</v>
      </c>
      <c r="H11">
        <v>0</v>
      </c>
    </row>
    <row r="12" spans="1:8" x14ac:dyDescent="0.25">
      <c r="A12">
        <v>0</v>
      </c>
      <c r="B12">
        <v>0</v>
      </c>
      <c r="C12">
        <v>0</v>
      </c>
      <c r="D12">
        <v>1.48</v>
      </c>
      <c r="E12">
        <v>0</v>
      </c>
      <c r="F12">
        <v>1</v>
      </c>
      <c r="G12">
        <v>0</v>
      </c>
      <c r="H1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J2"/>
  <sheetViews>
    <sheetView workbookViewId="0"/>
  </sheetViews>
  <sheetFormatPr defaultRowHeight="15" x14ac:dyDescent="0.25"/>
  <cols>
    <col min="1" max="1" width="10.140625" bestFit="1" customWidth="1"/>
    <col min="2" max="2" width="10.42578125" bestFit="1" customWidth="1"/>
    <col min="3" max="3" width="9.85546875" bestFit="1" customWidth="1"/>
    <col min="4" max="4" width="10.28515625" bestFit="1" customWidth="1"/>
    <col min="5" max="5" width="18.28515625" bestFit="1" customWidth="1"/>
    <col min="6" max="6" width="17.5703125" bestFit="1" customWidth="1"/>
    <col min="7" max="7" width="17.85546875" bestFit="1" customWidth="1"/>
    <col min="8" max="8" width="17.28515625" bestFit="1" customWidth="1"/>
    <col min="9" max="9" width="17.7109375" bestFit="1" customWidth="1"/>
    <col min="10" max="10" width="25.7109375" bestFit="1" customWidth="1"/>
  </cols>
  <sheetData>
    <row r="1" spans="1:10" x14ac:dyDescent="0.25">
      <c r="A1" t="s">
        <v>749</v>
      </c>
      <c r="B1" t="s">
        <v>750</v>
      </c>
      <c r="C1" t="s">
        <v>751</v>
      </c>
      <c r="D1" t="s">
        <v>752</v>
      </c>
      <c r="E1" t="s">
        <v>753</v>
      </c>
      <c r="F1" t="s">
        <v>673</v>
      </c>
      <c r="G1" t="s">
        <v>670</v>
      </c>
      <c r="H1" t="s">
        <v>672</v>
      </c>
      <c r="I1" t="s">
        <v>671</v>
      </c>
      <c r="J1" t="s">
        <v>754</v>
      </c>
    </row>
    <row r="2" spans="1:10" x14ac:dyDescent="0.25">
      <c r="A2">
        <v>45.13</v>
      </c>
      <c r="B2">
        <v>79.900000000000006</v>
      </c>
      <c r="C2">
        <v>0</v>
      </c>
      <c r="D2">
        <v>79.900000000000006</v>
      </c>
      <c r="E2">
        <v>1144.25</v>
      </c>
      <c r="F2">
        <v>0.4</v>
      </c>
      <c r="G2">
        <v>0.46</v>
      </c>
      <c r="H2">
        <v>0</v>
      </c>
      <c r="I2">
        <v>0.46</v>
      </c>
      <c r="J2">
        <v>7.35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V12"/>
  <sheetViews>
    <sheetView workbookViewId="0"/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5" max="5" width="6" bestFit="1" customWidth="1"/>
    <col min="6" max="6" width="9.42578125" bestFit="1" customWidth="1"/>
    <col min="7" max="7" width="16.140625" bestFit="1" customWidth="1"/>
    <col min="8" max="8" width="19.28515625" bestFit="1" customWidth="1"/>
    <col min="9" max="10" width="19.42578125" bestFit="1" customWidth="1"/>
    <col min="11" max="11" width="19.28515625" bestFit="1" customWidth="1"/>
    <col min="12" max="12" width="10.140625" bestFit="1" customWidth="1"/>
    <col min="13" max="13" width="4.85546875" bestFit="1" customWidth="1"/>
    <col min="14" max="14" width="8.85546875" bestFit="1" customWidth="1"/>
    <col min="15" max="15" width="11.42578125" bestFit="1" customWidth="1"/>
    <col min="16" max="16" width="23.42578125" bestFit="1" customWidth="1"/>
    <col min="17" max="17" width="8.7109375" bestFit="1" customWidth="1"/>
    <col min="18" max="18" width="7" bestFit="1" customWidth="1"/>
    <col min="19" max="19" width="6" bestFit="1" customWidth="1"/>
    <col min="20" max="20" width="9.28515625" bestFit="1" customWidth="1"/>
    <col min="21" max="21" width="14.5703125" bestFit="1" customWidth="1"/>
    <col min="22" max="22" width="5.42578125" bestFit="1" customWidth="1"/>
  </cols>
  <sheetData>
    <row r="1" spans="1:22" x14ac:dyDescent="0.25">
      <c r="A1" t="s">
        <v>755</v>
      </c>
      <c r="B1" t="s">
        <v>7</v>
      </c>
      <c r="C1" t="s">
        <v>241</v>
      </c>
      <c r="D1" t="s">
        <v>248</v>
      </c>
      <c r="E1" t="s">
        <v>4</v>
      </c>
      <c r="F1" t="s">
        <v>245</v>
      </c>
      <c r="G1" t="s">
        <v>206</v>
      </c>
      <c r="H1" t="s">
        <v>238</v>
      </c>
      <c r="I1" t="s">
        <v>242</v>
      </c>
      <c r="J1" t="s">
        <v>756</v>
      </c>
      <c r="K1" t="s">
        <v>240</v>
      </c>
      <c r="L1" t="s">
        <v>239</v>
      </c>
      <c r="M1" t="s">
        <v>6</v>
      </c>
      <c r="N1" t="s">
        <v>247</v>
      </c>
      <c r="O1" t="s">
        <v>251</v>
      </c>
      <c r="P1" t="s">
        <v>204</v>
      </c>
      <c r="Q1" t="s">
        <v>213</v>
      </c>
      <c r="R1" t="s">
        <v>757</v>
      </c>
      <c r="S1" t="s">
        <v>5</v>
      </c>
      <c r="T1" t="s">
        <v>246</v>
      </c>
      <c r="U1" t="s">
        <v>249</v>
      </c>
      <c r="V1" t="s">
        <v>210</v>
      </c>
    </row>
    <row r="2" spans="1:22" x14ac:dyDescent="0.25">
      <c r="A2">
        <v>0</v>
      </c>
      <c r="B2">
        <v>2.65</v>
      </c>
      <c r="C2" t="s">
        <v>285</v>
      </c>
      <c r="D2">
        <v>1</v>
      </c>
      <c r="E2">
        <v>15.92</v>
      </c>
      <c r="F2">
        <v>6</v>
      </c>
      <c r="G2" t="s">
        <v>278</v>
      </c>
      <c r="H2">
        <v>265.27999999999997</v>
      </c>
      <c r="I2">
        <v>265.27999999999997</v>
      </c>
      <c r="J2" t="s">
        <v>283</v>
      </c>
      <c r="K2" t="s">
        <v>284</v>
      </c>
      <c r="L2" t="s">
        <v>277</v>
      </c>
      <c r="M2">
        <v>0</v>
      </c>
      <c r="N2">
        <v>0</v>
      </c>
      <c r="O2">
        <v>299.77</v>
      </c>
      <c r="P2" t="s">
        <v>276</v>
      </c>
      <c r="Q2">
        <v>2.1349999999999998</v>
      </c>
      <c r="R2">
        <v>250.11</v>
      </c>
      <c r="S2">
        <v>15.92</v>
      </c>
      <c r="T2">
        <v>6</v>
      </c>
      <c r="U2">
        <v>0</v>
      </c>
      <c r="V2" t="s">
        <v>280</v>
      </c>
    </row>
    <row r="3" spans="1:22" x14ac:dyDescent="0.25">
      <c r="A3">
        <v>0</v>
      </c>
      <c r="B3">
        <v>2.65</v>
      </c>
      <c r="C3" t="s">
        <v>285</v>
      </c>
      <c r="D3">
        <v>1</v>
      </c>
      <c r="E3">
        <v>15.93</v>
      </c>
      <c r="F3">
        <v>6</v>
      </c>
      <c r="G3" t="s">
        <v>278</v>
      </c>
      <c r="H3">
        <v>265.48</v>
      </c>
      <c r="I3">
        <v>265.48</v>
      </c>
      <c r="J3" t="s">
        <v>283</v>
      </c>
      <c r="K3" t="s">
        <v>284</v>
      </c>
      <c r="L3" t="s">
        <v>277</v>
      </c>
      <c r="M3">
        <v>0</v>
      </c>
      <c r="N3">
        <v>0</v>
      </c>
      <c r="O3">
        <v>299.99</v>
      </c>
      <c r="P3" t="s">
        <v>297</v>
      </c>
      <c r="Q3">
        <v>2.2269999999999999</v>
      </c>
      <c r="R3">
        <v>250.12</v>
      </c>
      <c r="S3">
        <v>15.93</v>
      </c>
      <c r="T3">
        <v>6</v>
      </c>
      <c r="U3">
        <v>0</v>
      </c>
      <c r="V3" t="s">
        <v>280</v>
      </c>
    </row>
    <row r="4" spans="1:22" x14ac:dyDescent="0.25">
      <c r="A4">
        <v>0</v>
      </c>
      <c r="B4" s="2">
        <v>10.64</v>
      </c>
      <c r="C4" t="s">
        <v>318</v>
      </c>
      <c r="D4">
        <v>10</v>
      </c>
      <c r="E4" s="2">
        <v>9.58</v>
      </c>
      <c r="F4">
        <v>9</v>
      </c>
      <c r="G4" t="s">
        <v>278</v>
      </c>
      <c r="H4" s="2">
        <v>106.43</v>
      </c>
      <c r="I4" s="2">
        <v>106.43</v>
      </c>
      <c r="J4" t="s">
        <v>316</v>
      </c>
      <c r="K4" t="s">
        <v>317</v>
      </c>
      <c r="L4" t="s">
        <v>312</v>
      </c>
      <c r="M4">
        <v>0</v>
      </c>
      <c r="N4">
        <v>0</v>
      </c>
      <c r="O4" s="2">
        <v>136.22999999999999</v>
      </c>
      <c r="P4" t="s">
        <v>311</v>
      </c>
      <c r="Q4">
        <v>2.2309999999999999</v>
      </c>
      <c r="R4">
        <v>100.13</v>
      </c>
      <c r="S4" s="2">
        <v>9.58</v>
      </c>
      <c r="T4">
        <v>9</v>
      </c>
      <c r="U4">
        <v>0</v>
      </c>
      <c r="V4" t="s">
        <v>280</v>
      </c>
    </row>
    <row r="5" spans="1:22" x14ac:dyDescent="0.25">
      <c r="A5">
        <v>0</v>
      </c>
      <c r="B5">
        <v>2.39</v>
      </c>
      <c r="C5" t="s">
        <v>285</v>
      </c>
      <c r="D5">
        <v>1</v>
      </c>
      <c r="E5">
        <v>14.35</v>
      </c>
      <c r="F5">
        <v>6</v>
      </c>
      <c r="G5" t="s">
        <v>278</v>
      </c>
      <c r="H5">
        <v>239.1</v>
      </c>
      <c r="I5">
        <v>239.1</v>
      </c>
      <c r="J5" t="s">
        <v>283</v>
      </c>
      <c r="K5" t="s">
        <v>284</v>
      </c>
      <c r="L5" t="s">
        <v>277</v>
      </c>
      <c r="M5">
        <v>0</v>
      </c>
      <c r="N5">
        <v>0</v>
      </c>
      <c r="O5">
        <v>270.19</v>
      </c>
      <c r="P5" t="s">
        <v>330</v>
      </c>
      <c r="Q5">
        <v>1</v>
      </c>
      <c r="R5">
        <v>250.14</v>
      </c>
      <c r="S5">
        <v>14.35</v>
      </c>
      <c r="T5">
        <v>6</v>
      </c>
      <c r="U5">
        <v>0</v>
      </c>
      <c r="V5" t="s">
        <v>280</v>
      </c>
    </row>
    <row r="6" spans="1:22" x14ac:dyDescent="0.25">
      <c r="A6">
        <v>0</v>
      </c>
      <c r="B6">
        <v>0</v>
      </c>
      <c r="C6" t="s">
        <v>285</v>
      </c>
      <c r="D6">
        <v>1</v>
      </c>
      <c r="E6">
        <v>0</v>
      </c>
      <c r="F6">
        <v>6</v>
      </c>
      <c r="G6" t="s">
        <v>278</v>
      </c>
      <c r="H6">
        <v>0</v>
      </c>
      <c r="I6">
        <v>0</v>
      </c>
      <c r="J6" t="s">
        <v>283</v>
      </c>
      <c r="K6" t="s">
        <v>284</v>
      </c>
      <c r="L6" t="s">
        <v>277</v>
      </c>
      <c r="M6">
        <v>0</v>
      </c>
      <c r="N6">
        <v>0</v>
      </c>
      <c r="O6">
        <v>0</v>
      </c>
      <c r="P6" t="s">
        <v>330</v>
      </c>
      <c r="Q6">
        <v>1</v>
      </c>
      <c r="R6">
        <v>250.14</v>
      </c>
      <c r="S6">
        <v>0</v>
      </c>
      <c r="T6">
        <v>6</v>
      </c>
      <c r="U6">
        <v>0</v>
      </c>
      <c r="V6" t="s">
        <v>280</v>
      </c>
    </row>
    <row r="7" spans="1:22" x14ac:dyDescent="0.25">
      <c r="A7">
        <v>0</v>
      </c>
      <c r="B7">
        <v>26.8</v>
      </c>
      <c r="C7" t="s">
        <v>318</v>
      </c>
      <c r="D7">
        <v>10</v>
      </c>
      <c r="E7">
        <v>24.12</v>
      </c>
      <c r="F7">
        <v>9</v>
      </c>
      <c r="G7" t="s">
        <v>278</v>
      </c>
      <c r="H7">
        <v>267.95999999999998</v>
      </c>
      <c r="I7">
        <v>267.95999999999998</v>
      </c>
      <c r="J7" t="s">
        <v>316</v>
      </c>
      <c r="K7" t="s">
        <v>317</v>
      </c>
      <c r="L7" t="s">
        <v>312</v>
      </c>
      <c r="M7">
        <v>0</v>
      </c>
      <c r="N7">
        <v>0</v>
      </c>
      <c r="O7">
        <v>343</v>
      </c>
      <c r="P7" t="s">
        <v>352</v>
      </c>
      <c r="Q7">
        <v>2.23</v>
      </c>
      <c r="R7">
        <v>250.15</v>
      </c>
      <c r="S7">
        <v>24.12</v>
      </c>
      <c r="T7">
        <v>9</v>
      </c>
      <c r="U7">
        <v>0</v>
      </c>
      <c r="V7" t="s">
        <v>280</v>
      </c>
    </row>
    <row r="8" spans="1:22" x14ac:dyDescent="0.25">
      <c r="A8">
        <v>0</v>
      </c>
      <c r="B8">
        <v>0.01</v>
      </c>
      <c r="C8" t="s">
        <v>285</v>
      </c>
      <c r="D8">
        <v>1</v>
      </c>
      <c r="E8">
        <v>0.01</v>
      </c>
      <c r="F8">
        <v>0.75</v>
      </c>
      <c r="G8" t="s">
        <v>415</v>
      </c>
      <c r="H8">
        <v>1.49</v>
      </c>
      <c r="I8">
        <v>1.49</v>
      </c>
      <c r="J8" t="s">
        <v>416</v>
      </c>
      <c r="K8" t="s">
        <v>417</v>
      </c>
      <c r="L8" t="s">
        <v>414</v>
      </c>
      <c r="M8">
        <v>0</v>
      </c>
      <c r="N8">
        <v>0</v>
      </c>
      <c r="O8">
        <v>1.52</v>
      </c>
      <c r="P8" t="s">
        <v>413</v>
      </c>
      <c r="Q8">
        <v>1</v>
      </c>
      <c r="R8">
        <v>1.49</v>
      </c>
      <c r="S8">
        <v>0.01</v>
      </c>
      <c r="T8">
        <v>0.75</v>
      </c>
      <c r="U8">
        <v>0</v>
      </c>
      <c r="V8" t="s">
        <v>280</v>
      </c>
    </row>
    <row r="9" spans="1:22" x14ac:dyDescent="0.25">
      <c r="A9">
        <v>0</v>
      </c>
      <c r="B9">
        <v>0.15</v>
      </c>
      <c r="C9" t="s">
        <v>318</v>
      </c>
      <c r="D9">
        <v>10</v>
      </c>
      <c r="E9">
        <v>0.13</v>
      </c>
      <c r="F9">
        <v>9</v>
      </c>
      <c r="G9" t="s">
        <v>278</v>
      </c>
      <c r="H9">
        <v>1.45</v>
      </c>
      <c r="I9">
        <v>1.45</v>
      </c>
      <c r="J9" t="s">
        <v>316</v>
      </c>
      <c r="K9" t="s">
        <v>317</v>
      </c>
      <c r="L9" t="s">
        <v>312</v>
      </c>
      <c r="M9">
        <v>0</v>
      </c>
      <c r="N9">
        <v>0</v>
      </c>
      <c r="O9">
        <v>1.86</v>
      </c>
      <c r="P9" t="s">
        <v>423</v>
      </c>
      <c r="Q9">
        <v>1</v>
      </c>
      <c r="R9">
        <v>1.45</v>
      </c>
      <c r="S9">
        <v>0.13</v>
      </c>
      <c r="T9">
        <v>9</v>
      </c>
      <c r="U9">
        <v>0</v>
      </c>
      <c r="V9" t="s">
        <v>280</v>
      </c>
    </row>
    <row r="10" spans="1:22" x14ac:dyDescent="0.25">
      <c r="A10">
        <v>0</v>
      </c>
      <c r="B10">
        <v>0.01</v>
      </c>
      <c r="C10" t="s">
        <v>285</v>
      </c>
      <c r="D10">
        <v>1</v>
      </c>
      <c r="E10">
        <v>0.09</v>
      </c>
      <c r="F10">
        <v>6</v>
      </c>
      <c r="G10" t="s">
        <v>278</v>
      </c>
      <c r="H10">
        <v>1.46</v>
      </c>
      <c r="I10">
        <v>1.46</v>
      </c>
      <c r="J10" t="s">
        <v>431</v>
      </c>
      <c r="K10" t="s">
        <v>284</v>
      </c>
      <c r="L10" t="s">
        <v>430</v>
      </c>
      <c r="M10">
        <v>0</v>
      </c>
      <c r="N10">
        <v>0</v>
      </c>
      <c r="O10">
        <v>1.65</v>
      </c>
      <c r="P10" t="s">
        <v>429</v>
      </c>
      <c r="Q10">
        <v>1</v>
      </c>
      <c r="R10">
        <v>1.46</v>
      </c>
      <c r="S10">
        <v>0.09</v>
      </c>
      <c r="T10">
        <v>6</v>
      </c>
      <c r="U10">
        <v>0</v>
      </c>
      <c r="V10" t="s">
        <v>280</v>
      </c>
    </row>
    <row r="11" spans="1:22" x14ac:dyDescent="0.25">
      <c r="A11">
        <v>0</v>
      </c>
      <c r="B11">
        <v>0.22</v>
      </c>
      <c r="C11" t="s">
        <v>441</v>
      </c>
      <c r="D11">
        <v>15</v>
      </c>
      <c r="E11">
        <v>0.21</v>
      </c>
      <c r="F11">
        <v>14</v>
      </c>
      <c r="G11" t="s">
        <v>278</v>
      </c>
      <c r="H11">
        <v>1.47</v>
      </c>
      <c r="I11">
        <v>1.47</v>
      </c>
      <c r="J11" t="s">
        <v>439</v>
      </c>
      <c r="K11" t="s">
        <v>440</v>
      </c>
      <c r="L11" t="s">
        <v>438</v>
      </c>
      <c r="M11">
        <v>0</v>
      </c>
      <c r="N11">
        <v>0</v>
      </c>
      <c r="O11">
        <v>2.11</v>
      </c>
      <c r="P11" t="s">
        <v>437</v>
      </c>
      <c r="Q11">
        <v>1</v>
      </c>
      <c r="R11">
        <v>1.47</v>
      </c>
      <c r="S11">
        <v>0.21</v>
      </c>
      <c r="T11">
        <v>14</v>
      </c>
      <c r="U11">
        <v>0</v>
      </c>
      <c r="V11" t="s">
        <v>280</v>
      </c>
    </row>
    <row r="12" spans="1:22" x14ac:dyDescent="0.25">
      <c r="A12">
        <v>0</v>
      </c>
      <c r="B12">
        <v>0.01</v>
      </c>
      <c r="C12" t="s">
        <v>285</v>
      </c>
      <c r="D12">
        <v>1</v>
      </c>
      <c r="E12">
        <v>0.02</v>
      </c>
      <c r="F12">
        <v>1.5</v>
      </c>
      <c r="G12" t="s">
        <v>278</v>
      </c>
      <c r="H12">
        <v>1.48</v>
      </c>
      <c r="I12">
        <v>1.48</v>
      </c>
      <c r="J12" t="s">
        <v>449</v>
      </c>
      <c r="K12" t="s">
        <v>450</v>
      </c>
      <c r="L12" t="s">
        <v>448</v>
      </c>
      <c r="M12">
        <v>0</v>
      </c>
      <c r="N12">
        <v>0</v>
      </c>
      <c r="O12">
        <v>1.53</v>
      </c>
      <c r="P12" t="s">
        <v>447</v>
      </c>
      <c r="Q12">
        <v>1</v>
      </c>
      <c r="R12">
        <v>1.48</v>
      </c>
      <c r="S12">
        <v>0.02</v>
      </c>
      <c r="T12">
        <v>1.5</v>
      </c>
      <c r="U12">
        <v>0</v>
      </c>
      <c r="V12" t="s">
        <v>280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Q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9.85546875" bestFit="1" customWidth="1"/>
    <col min="5" max="5" width="7.85546875" bestFit="1" customWidth="1"/>
    <col min="6" max="6" width="18.140625" bestFit="1" customWidth="1"/>
    <col min="7" max="7" width="45.42578125" bestFit="1" customWidth="1"/>
    <col min="8" max="8" width="11.7109375" bestFit="1" customWidth="1"/>
    <col min="9" max="9" width="16.7109375" bestFit="1" customWidth="1"/>
    <col min="10" max="10" width="16.5703125" bestFit="1" customWidth="1"/>
    <col min="11" max="11" width="16.140625" bestFit="1" customWidth="1"/>
    <col min="12" max="12" width="10" bestFit="1" customWidth="1"/>
    <col min="13" max="13" width="10.140625" bestFit="1" customWidth="1"/>
    <col min="14" max="14" width="11.28515625" bestFit="1" customWidth="1"/>
    <col min="15" max="15" width="14.5703125" bestFit="1" customWidth="1"/>
    <col min="16" max="16" width="10.5703125" bestFit="1" customWidth="1"/>
    <col min="17" max="17" width="7.7109375" bestFit="1" customWidth="1"/>
  </cols>
  <sheetData>
    <row r="1" spans="1:17" x14ac:dyDescent="0.25">
      <c r="A1" t="s">
        <v>758</v>
      </c>
      <c r="B1" t="s">
        <v>154</v>
      </c>
      <c r="C1" t="s">
        <v>170</v>
      </c>
      <c r="D1" t="s">
        <v>759</v>
      </c>
      <c r="E1" t="s">
        <v>760</v>
      </c>
      <c r="F1" t="s">
        <v>683</v>
      </c>
      <c r="G1" t="s">
        <v>168</v>
      </c>
      <c r="H1" t="s">
        <v>761</v>
      </c>
      <c r="I1" t="s">
        <v>165</v>
      </c>
      <c r="J1" t="s">
        <v>762</v>
      </c>
      <c r="K1" t="s">
        <v>160</v>
      </c>
      <c r="L1" t="s">
        <v>162</v>
      </c>
      <c r="M1" t="s">
        <v>161</v>
      </c>
      <c r="N1" t="s">
        <v>763</v>
      </c>
      <c r="O1" t="s">
        <v>249</v>
      </c>
      <c r="P1" t="s">
        <v>678</v>
      </c>
      <c r="Q1" t="s">
        <v>764</v>
      </c>
    </row>
    <row r="2" spans="1:17" x14ac:dyDescent="0.25">
      <c r="A2" t="s">
        <v>191</v>
      </c>
      <c r="B2" s="1">
        <v>45849</v>
      </c>
      <c r="C2">
        <v>1</v>
      </c>
      <c r="D2" t="s">
        <v>180</v>
      </c>
      <c r="E2" t="s">
        <v>765</v>
      </c>
      <c r="F2" t="s">
        <v>692</v>
      </c>
      <c r="G2" t="s">
        <v>195</v>
      </c>
      <c r="H2">
        <v>0</v>
      </c>
      <c r="I2" t="s">
        <v>193</v>
      </c>
      <c r="J2">
        <v>1</v>
      </c>
      <c r="K2">
        <v>1</v>
      </c>
      <c r="L2" t="s">
        <v>190</v>
      </c>
      <c r="M2" t="s">
        <v>189</v>
      </c>
      <c r="N2" t="s">
        <v>194</v>
      </c>
      <c r="O2">
        <v>0</v>
      </c>
      <c r="P2" s="2">
        <v>1401</v>
      </c>
      <c r="Q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684</v>
      </c>
      <c r="B1" t="s">
        <v>685</v>
      </c>
      <c r="C1" t="s">
        <v>686</v>
      </c>
      <c r="D1" t="s">
        <v>687</v>
      </c>
      <c r="E1" t="s">
        <v>688</v>
      </c>
      <c r="F1" t="s">
        <v>683</v>
      </c>
      <c r="G1" t="s">
        <v>691</v>
      </c>
      <c r="H1" t="s">
        <v>165</v>
      </c>
      <c r="I1" t="s">
        <v>162</v>
      </c>
      <c r="J1" t="s">
        <v>161</v>
      </c>
      <c r="K1" t="s">
        <v>690</v>
      </c>
      <c r="L1" t="s">
        <v>689</v>
      </c>
    </row>
    <row r="2" spans="1:12" x14ac:dyDescent="0.25">
      <c r="A2" t="s">
        <v>693</v>
      </c>
      <c r="B2" t="s">
        <v>694</v>
      </c>
      <c r="C2" t="s">
        <v>695</v>
      </c>
      <c r="D2" t="s">
        <v>694</v>
      </c>
      <c r="E2" t="s">
        <v>696</v>
      </c>
      <c r="F2" t="s">
        <v>692</v>
      </c>
      <c r="G2" t="s">
        <v>180</v>
      </c>
      <c r="H2" t="s">
        <v>193</v>
      </c>
      <c r="I2" t="s">
        <v>190</v>
      </c>
      <c r="J2" t="s">
        <v>189</v>
      </c>
      <c r="K2" t="s">
        <v>180</v>
      </c>
      <c r="L2" t="s">
        <v>697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M2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3.5703125" bestFit="1" customWidth="1"/>
    <col min="5" max="5" width="10.5703125" bestFit="1" customWidth="1"/>
    <col min="6" max="6" width="8" bestFit="1" customWidth="1"/>
    <col min="7" max="7" width="18.140625" bestFit="1" customWidth="1"/>
    <col min="8" max="8" width="11" bestFit="1" customWidth="1"/>
    <col min="9" max="9" width="16.7109375" bestFit="1" customWidth="1"/>
    <col min="10" max="10" width="10" bestFit="1" customWidth="1"/>
    <col min="11" max="11" width="10.140625" bestFit="1" customWidth="1"/>
    <col min="12" max="12" width="13.5703125" bestFit="1" customWidth="1"/>
    <col min="13" max="13" width="7" bestFit="1" customWidth="1"/>
  </cols>
  <sheetData>
    <row r="1" spans="1:13" x14ac:dyDescent="0.25">
      <c r="A1" t="s">
        <v>684</v>
      </c>
      <c r="B1" t="s">
        <v>685</v>
      </c>
      <c r="C1" t="s">
        <v>686</v>
      </c>
      <c r="D1" t="s">
        <v>698</v>
      </c>
      <c r="E1" t="s">
        <v>687</v>
      </c>
      <c r="F1" t="s">
        <v>688</v>
      </c>
      <c r="G1" t="s">
        <v>683</v>
      </c>
      <c r="H1" t="s">
        <v>691</v>
      </c>
      <c r="I1" t="s">
        <v>165</v>
      </c>
      <c r="J1" t="s">
        <v>162</v>
      </c>
      <c r="K1" t="s">
        <v>161</v>
      </c>
      <c r="L1" t="s">
        <v>690</v>
      </c>
      <c r="M1" t="s">
        <v>689</v>
      </c>
    </row>
    <row r="2" spans="1:13" x14ac:dyDescent="0.25">
      <c r="A2" t="s">
        <v>693</v>
      </c>
      <c r="B2" t="s">
        <v>694</v>
      </c>
      <c r="C2" t="s">
        <v>695</v>
      </c>
      <c r="D2" t="s">
        <v>180</v>
      </c>
      <c r="E2" t="s">
        <v>694</v>
      </c>
      <c r="F2" t="s">
        <v>696</v>
      </c>
      <c r="G2" t="s">
        <v>692</v>
      </c>
      <c r="H2" t="s">
        <v>700</v>
      </c>
      <c r="I2" t="s">
        <v>193</v>
      </c>
      <c r="J2" t="s">
        <v>190</v>
      </c>
      <c r="K2" t="s">
        <v>189</v>
      </c>
      <c r="L2" t="s">
        <v>699</v>
      </c>
      <c r="M2" t="s">
        <v>697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B12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206</v>
      </c>
      <c r="B1" t="s">
        <v>205</v>
      </c>
    </row>
    <row r="2" spans="1:2" x14ac:dyDescent="0.25">
      <c r="A2" t="s">
        <v>278</v>
      </c>
      <c r="B2" t="s">
        <v>277</v>
      </c>
    </row>
    <row r="3" spans="1:2" x14ac:dyDescent="0.25">
      <c r="A3" t="s">
        <v>278</v>
      </c>
      <c r="B3" t="s">
        <v>277</v>
      </c>
    </row>
    <row r="4" spans="1:2" x14ac:dyDescent="0.25">
      <c r="A4" t="s">
        <v>278</v>
      </c>
      <c r="B4" t="s">
        <v>312</v>
      </c>
    </row>
    <row r="5" spans="1:2" x14ac:dyDescent="0.25">
      <c r="A5" t="s">
        <v>278</v>
      </c>
      <c r="B5" t="s">
        <v>277</v>
      </c>
    </row>
    <row r="6" spans="1:2" x14ac:dyDescent="0.25">
      <c r="A6" t="s">
        <v>278</v>
      </c>
      <c r="B6" t="s">
        <v>277</v>
      </c>
    </row>
    <row r="7" spans="1:2" x14ac:dyDescent="0.25">
      <c r="A7" t="s">
        <v>278</v>
      </c>
      <c r="B7" t="s">
        <v>312</v>
      </c>
    </row>
    <row r="8" spans="1:2" x14ac:dyDescent="0.25">
      <c r="A8" t="s">
        <v>415</v>
      </c>
      <c r="B8" t="s">
        <v>414</v>
      </c>
    </row>
    <row r="9" spans="1:2" x14ac:dyDescent="0.25">
      <c r="A9" t="s">
        <v>278</v>
      </c>
      <c r="B9" t="s">
        <v>312</v>
      </c>
    </row>
    <row r="10" spans="1:2" x14ac:dyDescent="0.25">
      <c r="A10" t="s">
        <v>278</v>
      </c>
      <c r="B10" t="s">
        <v>430</v>
      </c>
    </row>
    <row r="11" spans="1:2" x14ac:dyDescent="0.25">
      <c r="A11" t="s">
        <v>278</v>
      </c>
      <c r="B11" t="s">
        <v>438</v>
      </c>
    </row>
    <row r="12" spans="1:2" x14ac:dyDescent="0.25">
      <c r="A12" t="s">
        <v>278</v>
      </c>
      <c r="B12" t="s">
        <v>448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B12"/>
  <sheetViews>
    <sheetView workbookViewId="0">
      <selection activeCell="A4" sqref="A4"/>
    </sheetView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766</v>
      </c>
    </row>
    <row r="2" spans="1:2" x14ac:dyDescent="0.25">
      <c r="A2">
        <v>2.65</v>
      </c>
      <c r="B2" t="s">
        <v>285</v>
      </c>
    </row>
    <row r="3" spans="1:2" x14ac:dyDescent="0.25">
      <c r="A3">
        <v>2.65</v>
      </c>
      <c r="B3" t="s">
        <v>285</v>
      </c>
    </row>
    <row r="4" spans="1:2" x14ac:dyDescent="0.25">
      <c r="A4" s="2">
        <v>10.64</v>
      </c>
      <c r="B4" t="s">
        <v>318</v>
      </c>
    </row>
    <row r="5" spans="1:2" x14ac:dyDescent="0.25">
      <c r="A5">
        <v>2.39</v>
      </c>
      <c r="B5" t="s">
        <v>285</v>
      </c>
    </row>
    <row r="6" spans="1:2" x14ac:dyDescent="0.25">
      <c r="A6">
        <v>0</v>
      </c>
      <c r="B6" t="s">
        <v>285</v>
      </c>
    </row>
    <row r="7" spans="1:2" x14ac:dyDescent="0.25">
      <c r="A7">
        <v>26.8</v>
      </c>
      <c r="B7" t="s">
        <v>318</v>
      </c>
    </row>
    <row r="8" spans="1:2" x14ac:dyDescent="0.25">
      <c r="A8">
        <v>0.01</v>
      </c>
      <c r="B8" t="s">
        <v>285</v>
      </c>
    </row>
    <row r="9" spans="1:2" x14ac:dyDescent="0.25">
      <c r="A9">
        <v>0.15</v>
      </c>
      <c r="B9" t="s">
        <v>318</v>
      </c>
    </row>
    <row r="10" spans="1:2" x14ac:dyDescent="0.25">
      <c r="A10">
        <v>0.01</v>
      </c>
      <c r="B10" t="s">
        <v>285</v>
      </c>
    </row>
    <row r="11" spans="1:2" x14ac:dyDescent="0.25">
      <c r="A11">
        <v>0.22</v>
      </c>
      <c r="B11" t="s">
        <v>441</v>
      </c>
    </row>
    <row r="12" spans="1:2" x14ac:dyDescent="0.25">
      <c r="A12">
        <v>0.01</v>
      </c>
      <c r="B12" t="s">
        <v>285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166</v>
      </c>
      <c r="B1" t="s">
        <v>167</v>
      </c>
      <c r="C1" t="s">
        <v>160</v>
      </c>
    </row>
    <row r="2" spans="1:3" x14ac:dyDescent="0.25">
      <c r="A2">
        <v>1</v>
      </c>
      <c r="B2" t="s">
        <v>194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autoPageBreaks="0"/>
  </sheetPr>
  <dimension ref="A1:T11"/>
  <sheetViews>
    <sheetView workbookViewId="0">
      <selection activeCell="D9" sqref="D9"/>
    </sheetView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7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459</v>
      </c>
      <c r="B1" t="s">
        <v>460</v>
      </c>
      <c r="C1" t="s">
        <v>458</v>
      </c>
      <c r="D1" t="s">
        <v>461</v>
      </c>
      <c r="E1" t="s">
        <v>368</v>
      </c>
      <c r="F1" t="s">
        <v>467</v>
      </c>
      <c r="G1" t="s">
        <v>767</v>
      </c>
      <c r="H1" t="s">
        <v>469</v>
      </c>
      <c r="I1" t="s">
        <v>240</v>
      </c>
      <c r="J1" t="s">
        <v>456</v>
      </c>
      <c r="K1" t="s">
        <v>457</v>
      </c>
      <c r="L1" t="s">
        <v>465</v>
      </c>
      <c r="M1" t="s">
        <v>466</v>
      </c>
      <c r="N1" t="s">
        <v>464</v>
      </c>
      <c r="O1" t="s">
        <v>468</v>
      </c>
      <c r="P1" t="s">
        <v>463</v>
      </c>
      <c r="Q1" t="s">
        <v>462</v>
      </c>
      <c r="R1" t="s">
        <v>470</v>
      </c>
      <c r="S1" t="s">
        <v>471</v>
      </c>
      <c r="T1" t="s">
        <v>472</v>
      </c>
    </row>
    <row r="2" spans="1:20" x14ac:dyDescent="0.25">
      <c r="A2">
        <v>0</v>
      </c>
      <c r="B2">
        <v>0</v>
      </c>
      <c r="C2">
        <v>1</v>
      </c>
      <c r="D2">
        <v>1.49</v>
      </c>
      <c r="E2" t="s">
        <v>474</v>
      </c>
      <c r="F2">
        <v>0</v>
      </c>
      <c r="G2">
        <v>0</v>
      </c>
      <c r="H2" t="s">
        <v>180</v>
      </c>
      <c r="I2" t="s">
        <v>285</v>
      </c>
      <c r="J2" t="s">
        <v>7</v>
      </c>
      <c r="K2" t="s">
        <v>473</v>
      </c>
      <c r="L2">
        <v>0</v>
      </c>
      <c r="M2">
        <v>0</v>
      </c>
      <c r="N2" t="s">
        <v>191</v>
      </c>
      <c r="O2" t="s">
        <v>191</v>
      </c>
      <c r="P2" t="s">
        <v>477</v>
      </c>
      <c r="Q2">
        <v>0.01</v>
      </c>
      <c r="R2">
        <v>0</v>
      </c>
      <c r="S2">
        <v>0</v>
      </c>
      <c r="T2">
        <v>2101</v>
      </c>
    </row>
    <row r="3" spans="1:20" x14ac:dyDescent="0.25">
      <c r="A3">
        <v>0</v>
      </c>
      <c r="B3">
        <v>0</v>
      </c>
      <c r="C3">
        <v>10</v>
      </c>
      <c r="D3">
        <v>1.45</v>
      </c>
      <c r="E3" t="s">
        <v>474</v>
      </c>
      <c r="F3">
        <v>0</v>
      </c>
      <c r="G3">
        <v>0</v>
      </c>
      <c r="H3" t="s">
        <v>180</v>
      </c>
      <c r="I3" t="s">
        <v>318</v>
      </c>
      <c r="J3" t="s">
        <v>7</v>
      </c>
      <c r="K3" t="s">
        <v>473</v>
      </c>
      <c r="L3">
        <v>0</v>
      </c>
      <c r="M3">
        <v>0</v>
      </c>
      <c r="N3" t="s">
        <v>191</v>
      </c>
      <c r="O3" t="s">
        <v>191</v>
      </c>
      <c r="P3" t="s">
        <v>477</v>
      </c>
      <c r="Q3">
        <v>0.15</v>
      </c>
      <c r="R3">
        <v>0</v>
      </c>
      <c r="S3">
        <v>0</v>
      </c>
      <c r="T3">
        <v>2101</v>
      </c>
    </row>
    <row r="4" spans="1:20" x14ac:dyDescent="0.25">
      <c r="A4">
        <v>0</v>
      </c>
      <c r="B4">
        <v>0</v>
      </c>
      <c r="C4">
        <v>1</v>
      </c>
      <c r="D4">
        <v>1.46</v>
      </c>
      <c r="E4" t="s">
        <v>474</v>
      </c>
      <c r="F4">
        <v>0</v>
      </c>
      <c r="G4">
        <v>0</v>
      </c>
      <c r="H4" t="s">
        <v>180</v>
      </c>
      <c r="I4" t="s">
        <v>285</v>
      </c>
      <c r="J4" t="s">
        <v>7</v>
      </c>
      <c r="K4" t="s">
        <v>473</v>
      </c>
      <c r="L4">
        <v>0</v>
      </c>
      <c r="M4">
        <v>0</v>
      </c>
      <c r="N4" t="s">
        <v>191</v>
      </c>
      <c r="O4" t="s">
        <v>191</v>
      </c>
      <c r="P4" t="s">
        <v>477</v>
      </c>
      <c r="Q4">
        <v>0.01</v>
      </c>
      <c r="R4">
        <v>0</v>
      </c>
      <c r="S4">
        <v>0</v>
      </c>
      <c r="T4">
        <v>2101</v>
      </c>
    </row>
    <row r="5" spans="1:20" x14ac:dyDescent="0.25">
      <c r="A5">
        <v>0</v>
      </c>
      <c r="B5">
        <v>0</v>
      </c>
      <c r="C5">
        <v>15</v>
      </c>
      <c r="D5">
        <v>1.47</v>
      </c>
      <c r="E5" t="s">
        <v>474</v>
      </c>
      <c r="F5">
        <v>0</v>
      </c>
      <c r="G5">
        <v>0</v>
      </c>
      <c r="H5" t="s">
        <v>180</v>
      </c>
      <c r="I5" t="s">
        <v>441</v>
      </c>
      <c r="J5" t="s">
        <v>7</v>
      </c>
      <c r="K5" t="s">
        <v>473</v>
      </c>
      <c r="L5">
        <v>0</v>
      </c>
      <c r="M5">
        <v>0</v>
      </c>
      <c r="N5" t="s">
        <v>191</v>
      </c>
      <c r="O5" t="s">
        <v>191</v>
      </c>
      <c r="P5" t="s">
        <v>477</v>
      </c>
      <c r="Q5">
        <v>0.22</v>
      </c>
      <c r="R5">
        <v>0</v>
      </c>
      <c r="S5">
        <v>0</v>
      </c>
      <c r="T5">
        <v>2101</v>
      </c>
    </row>
    <row r="6" spans="1:20" x14ac:dyDescent="0.25">
      <c r="A6">
        <v>0</v>
      </c>
      <c r="B6">
        <v>0</v>
      </c>
      <c r="C6">
        <v>1</v>
      </c>
      <c r="D6">
        <v>1.48</v>
      </c>
      <c r="E6" t="s">
        <v>474</v>
      </c>
      <c r="F6">
        <v>0</v>
      </c>
      <c r="G6">
        <v>0</v>
      </c>
      <c r="H6" t="s">
        <v>180</v>
      </c>
      <c r="I6" t="s">
        <v>285</v>
      </c>
      <c r="J6" t="s">
        <v>7</v>
      </c>
      <c r="K6" t="s">
        <v>473</v>
      </c>
      <c r="L6">
        <v>0</v>
      </c>
      <c r="M6">
        <v>0</v>
      </c>
      <c r="N6" t="s">
        <v>191</v>
      </c>
      <c r="O6" t="s">
        <v>191</v>
      </c>
      <c r="P6" t="s">
        <v>477</v>
      </c>
      <c r="Q6">
        <v>0.01</v>
      </c>
      <c r="R6">
        <v>0</v>
      </c>
      <c r="S6">
        <v>0</v>
      </c>
      <c r="T6">
        <v>2101</v>
      </c>
    </row>
    <row r="7" spans="1:20" x14ac:dyDescent="0.25">
      <c r="A7">
        <v>0</v>
      </c>
      <c r="B7">
        <v>0</v>
      </c>
      <c r="C7">
        <v>1</v>
      </c>
      <c r="D7">
        <v>265.27999999999997</v>
      </c>
      <c r="E7" t="s">
        <v>474</v>
      </c>
      <c r="F7">
        <v>0</v>
      </c>
      <c r="G7">
        <v>0</v>
      </c>
      <c r="H7" t="s">
        <v>180</v>
      </c>
      <c r="I7" t="s">
        <v>285</v>
      </c>
      <c r="J7" t="s">
        <v>7</v>
      </c>
      <c r="K7" t="s">
        <v>473</v>
      </c>
      <c r="L7">
        <v>0</v>
      </c>
      <c r="M7">
        <v>0</v>
      </c>
      <c r="N7" t="s">
        <v>191</v>
      </c>
      <c r="O7" t="s">
        <v>191</v>
      </c>
      <c r="P7" t="s">
        <v>477</v>
      </c>
      <c r="Q7">
        <v>2.65</v>
      </c>
      <c r="R7">
        <v>0</v>
      </c>
      <c r="S7">
        <v>0</v>
      </c>
      <c r="T7">
        <v>2101</v>
      </c>
    </row>
    <row r="8" spans="1:20" x14ac:dyDescent="0.25">
      <c r="A8">
        <v>0</v>
      </c>
      <c r="B8">
        <v>0</v>
      </c>
      <c r="C8">
        <v>1</v>
      </c>
      <c r="D8">
        <v>265.48</v>
      </c>
      <c r="E8" t="s">
        <v>474</v>
      </c>
      <c r="F8">
        <v>0</v>
      </c>
      <c r="G8">
        <v>0</v>
      </c>
      <c r="H8" t="s">
        <v>180</v>
      </c>
      <c r="I8" t="s">
        <v>285</v>
      </c>
      <c r="J8" t="s">
        <v>7</v>
      </c>
      <c r="K8" t="s">
        <v>473</v>
      </c>
      <c r="L8">
        <v>0</v>
      </c>
      <c r="M8">
        <v>0</v>
      </c>
      <c r="N8" t="s">
        <v>191</v>
      </c>
      <c r="O8" t="s">
        <v>191</v>
      </c>
      <c r="P8" t="s">
        <v>477</v>
      </c>
      <c r="Q8">
        <v>2.65</v>
      </c>
      <c r="R8">
        <v>0</v>
      </c>
      <c r="S8">
        <v>0</v>
      </c>
      <c r="T8">
        <v>2101</v>
      </c>
    </row>
    <row r="9" spans="1:20" x14ac:dyDescent="0.25">
      <c r="A9">
        <v>0</v>
      </c>
      <c r="B9">
        <v>0</v>
      </c>
      <c r="C9">
        <v>10</v>
      </c>
      <c r="D9" s="2">
        <v>106.43</v>
      </c>
      <c r="E9" t="s">
        <v>474</v>
      </c>
      <c r="F9">
        <v>0</v>
      </c>
      <c r="G9">
        <v>0</v>
      </c>
      <c r="H9" t="s">
        <v>180</v>
      </c>
      <c r="I9" t="s">
        <v>318</v>
      </c>
      <c r="J9" t="s">
        <v>7</v>
      </c>
      <c r="K9" t="s">
        <v>473</v>
      </c>
      <c r="L9">
        <v>0</v>
      </c>
      <c r="M9">
        <v>0</v>
      </c>
      <c r="N9" t="s">
        <v>191</v>
      </c>
      <c r="O9" t="s">
        <v>191</v>
      </c>
      <c r="P9" t="s">
        <v>477</v>
      </c>
      <c r="Q9" s="2">
        <v>10.64</v>
      </c>
      <c r="R9">
        <v>0</v>
      </c>
      <c r="S9">
        <v>0</v>
      </c>
      <c r="T9">
        <v>2101</v>
      </c>
    </row>
    <row r="10" spans="1:20" x14ac:dyDescent="0.25">
      <c r="A10">
        <v>0</v>
      </c>
      <c r="B10">
        <v>0</v>
      </c>
      <c r="C10">
        <v>1</v>
      </c>
      <c r="D10">
        <v>239.1</v>
      </c>
      <c r="E10" t="s">
        <v>474</v>
      </c>
      <c r="F10">
        <v>0</v>
      </c>
      <c r="G10">
        <v>0</v>
      </c>
      <c r="H10" t="s">
        <v>180</v>
      </c>
      <c r="I10" t="s">
        <v>285</v>
      </c>
      <c r="J10" t="s">
        <v>7</v>
      </c>
      <c r="K10" t="s">
        <v>473</v>
      </c>
      <c r="L10">
        <v>0</v>
      </c>
      <c r="M10">
        <v>0</v>
      </c>
      <c r="N10" t="s">
        <v>191</v>
      </c>
      <c r="O10" t="s">
        <v>191</v>
      </c>
      <c r="P10" t="s">
        <v>477</v>
      </c>
      <c r="Q10">
        <v>2.39</v>
      </c>
      <c r="R10">
        <v>0</v>
      </c>
      <c r="S10">
        <v>0</v>
      </c>
      <c r="T10">
        <v>2101</v>
      </c>
    </row>
    <row r="11" spans="1:20" x14ac:dyDescent="0.25">
      <c r="A11">
        <v>0</v>
      </c>
      <c r="B11">
        <v>0</v>
      </c>
      <c r="C11">
        <v>10</v>
      </c>
      <c r="D11">
        <v>267.95999999999998</v>
      </c>
      <c r="E11" t="s">
        <v>474</v>
      </c>
      <c r="F11">
        <v>0</v>
      </c>
      <c r="G11">
        <v>0</v>
      </c>
      <c r="H11" t="s">
        <v>180</v>
      </c>
      <c r="I11" t="s">
        <v>318</v>
      </c>
      <c r="J11" t="s">
        <v>7</v>
      </c>
      <c r="K11" t="s">
        <v>473</v>
      </c>
      <c r="L11">
        <v>0</v>
      </c>
      <c r="M11">
        <v>0</v>
      </c>
      <c r="N11" t="s">
        <v>191</v>
      </c>
      <c r="O11" t="s">
        <v>191</v>
      </c>
      <c r="P11" t="s">
        <v>477</v>
      </c>
      <c r="Q11">
        <v>26.8</v>
      </c>
      <c r="R11">
        <v>0</v>
      </c>
      <c r="S11">
        <v>0</v>
      </c>
      <c r="T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autoPageBreaks="0"/>
  </sheetPr>
  <dimension ref="A1:T11"/>
  <sheetViews>
    <sheetView workbookViewId="0">
      <selection activeCell="D9" sqref="D9"/>
    </sheetView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3.57031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459</v>
      </c>
      <c r="B1" t="s">
        <v>460</v>
      </c>
      <c r="C1" t="s">
        <v>458</v>
      </c>
      <c r="D1" t="s">
        <v>461</v>
      </c>
      <c r="E1" t="s">
        <v>368</v>
      </c>
      <c r="F1" t="s">
        <v>467</v>
      </c>
      <c r="G1" t="s">
        <v>767</v>
      </c>
      <c r="H1" t="s">
        <v>469</v>
      </c>
      <c r="I1" t="s">
        <v>240</v>
      </c>
      <c r="J1" t="s">
        <v>456</v>
      </c>
      <c r="K1" t="s">
        <v>457</v>
      </c>
      <c r="L1" t="s">
        <v>465</v>
      </c>
      <c r="M1" t="s">
        <v>466</v>
      </c>
      <c r="N1" t="s">
        <v>464</v>
      </c>
      <c r="O1" t="s">
        <v>468</v>
      </c>
      <c r="P1" t="s">
        <v>463</v>
      </c>
      <c r="Q1" t="s">
        <v>462</v>
      </c>
      <c r="R1" t="s">
        <v>470</v>
      </c>
      <c r="S1" t="s">
        <v>471</v>
      </c>
      <c r="T1" t="s">
        <v>472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474</v>
      </c>
      <c r="F2">
        <v>0</v>
      </c>
      <c r="G2">
        <v>0</v>
      </c>
      <c r="H2" t="s">
        <v>180</v>
      </c>
      <c r="I2" t="s">
        <v>417</v>
      </c>
      <c r="J2" t="s">
        <v>4</v>
      </c>
      <c r="K2" t="s">
        <v>473</v>
      </c>
      <c r="L2">
        <v>0</v>
      </c>
      <c r="M2">
        <v>0</v>
      </c>
      <c r="N2" t="s">
        <v>191</v>
      </c>
      <c r="O2" t="s">
        <v>191</v>
      </c>
      <c r="P2" t="s">
        <v>475</v>
      </c>
      <c r="Q2">
        <v>0.01</v>
      </c>
      <c r="R2">
        <v>0</v>
      </c>
      <c r="S2">
        <v>0</v>
      </c>
      <c r="T2">
        <v>2101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474</v>
      </c>
      <c r="F3">
        <v>0</v>
      </c>
      <c r="G3">
        <v>0</v>
      </c>
      <c r="H3" t="s">
        <v>180</v>
      </c>
      <c r="I3" t="s">
        <v>317</v>
      </c>
      <c r="J3" t="s">
        <v>4</v>
      </c>
      <c r="K3" t="s">
        <v>473</v>
      </c>
      <c r="L3">
        <v>0</v>
      </c>
      <c r="M3">
        <v>0</v>
      </c>
      <c r="N3" t="s">
        <v>191</v>
      </c>
      <c r="O3" t="s">
        <v>191</v>
      </c>
      <c r="P3" t="s">
        <v>475</v>
      </c>
      <c r="Q3">
        <v>0.13</v>
      </c>
      <c r="R3">
        <v>0</v>
      </c>
      <c r="S3">
        <v>0</v>
      </c>
      <c r="T3">
        <v>2101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474</v>
      </c>
      <c r="F4">
        <v>0</v>
      </c>
      <c r="G4">
        <v>0</v>
      </c>
      <c r="H4" t="s">
        <v>180</v>
      </c>
      <c r="I4" t="s">
        <v>284</v>
      </c>
      <c r="J4" t="s">
        <v>4</v>
      </c>
      <c r="K4" t="s">
        <v>473</v>
      </c>
      <c r="L4">
        <v>0</v>
      </c>
      <c r="M4">
        <v>0</v>
      </c>
      <c r="N4" t="s">
        <v>191</v>
      </c>
      <c r="O4" t="s">
        <v>191</v>
      </c>
      <c r="P4" t="s">
        <v>475</v>
      </c>
      <c r="Q4">
        <v>0.09</v>
      </c>
      <c r="R4">
        <v>0</v>
      </c>
      <c r="S4">
        <v>0</v>
      </c>
      <c r="T4">
        <v>2101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474</v>
      </c>
      <c r="F5">
        <v>0</v>
      </c>
      <c r="G5">
        <v>0</v>
      </c>
      <c r="H5" t="s">
        <v>180</v>
      </c>
      <c r="I5" t="s">
        <v>440</v>
      </c>
      <c r="J5" t="s">
        <v>4</v>
      </c>
      <c r="K5" t="s">
        <v>473</v>
      </c>
      <c r="L5">
        <v>0</v>
      </c>
      <c r="M5">
        <v>0</v>
      </c>
      <c r="N5" t="s">
        <v>191</v>
      </c>
      <c r="O5" t="s">
        <v>191</v>
      </c>
      <c r="P5" t="s">
        <v>475</v>
      </c>
      <c r="Q5">
        <v>0.21</v>
      </c>
      <c r="R5">
        <v>0</v>
      </c>
      <c r="S5">
        <v>0</v>
      </c>
      <c r="T5">
        <v>2101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474</v>
      </c>
      <c r="F6">
        <v>0</v>
      </c>
      <c r="G6">
        <v>0</v>
      </c>
      <c r="H6" t="s">
        <v>180</v>
      </c>
      <c r="I6" t="s">
        <v>450</v>
      </c>
      <c r="J6" t="s">
        <v>4</v>
      </c>
      <c r="K6" t="s">
        <v>473</v>
      </c>
      <c r="L6">
        <v>0</v>
      </c>
      <c r="M6">
        <v>0</v>
      </c>
      <c r="N6" t="s">
        <v>191</v>
      </c>
      <c r="O6" t="s">
        <v>191</v>
      </c>
      <c r="P6" t="s">
        <v>475</v>
      </c>
      <c r="Q6">
        <v>0.02</v>
      </c>
      <c r="R6">
        <v>0</v>
      </c>
      <c r="S6">
        <v>0</v>
      </c>
      <c r="T6">
        <v>2101</v>
      </c>
    </row>
    <row r="7" spans="1:20" x14ac:dyDescent="0.25">
      <c r="A7">
        <v>0</v>
      </c>
      <c r="B7">
        <v>0</v>
      </c>
      <c r="C7">
        <v>6</v>
      </c>
      <c r="D7">
        <v>265.27999999999997</v>
      </c>
      <c r="E7" t="s">
        <v>474</v>
      </c>
      <c r="F7">
        <v>0</v>
      </c>
      <c r="G7">
        <v>0</v>
      </c>
      <c r="H7" t="s">
        <v>180</v>
      </c>
      <c r="I7" t="s">
        <v>284</v>
      </c>
      <c r="J7" t="s">
        <v>4</v>
      </c>
      <c r="K7" t="s">
        <v>473</v>
      </c>
      <c r="L7">
        <v>0</v>
      </c>
      <c r="M7">
        <v>0</v>
      </c>
      <c r="N7" t="s">
        <v>191</v>
      </c>
      <c r="O7" t="s">
        <v>191</v>
      </c>
      <c r="P7" t="s">
        <v>475</v>
      </c>
      <c r="Q7">
        <v>15.92</v>
      </c>
      <c r="R7">
        <v>0</v>
      </c>
      <c r="S7">
        <v>0</v>
      </c>
      <c r="T7">
        <v>2101</v>
      </c>
    </row>
    <row r="8" spans="1:20" x14ac:dyDescent="0.25">
      <c r="A8">
        <v>0</v>
      </c>
      <c r="B8">
        <v>0</v>
      </c>
      <c r="C8">
        <v>6</v>
      </c>
      <c r="D8">
        <v>265.48</v>
      </c>
      <c r="E8" t="s">
        <v>474</v>
      </c>
      <c r="F8">
        <v>0</v>
      </c>
      <c r="G8">
        <v>0</v>
      </c>
      <c r="H8" t="s">
        <v>180</v>
      </c>
      <c r="I8" t="s">
        <v>284</v>
      </c>
      <c r="J8" t="s">
        <v>4</v>
      </c>
      <c r="K8" t="s">
        <v>473</v>
      </c>
      <c r="L8">
        <v>0</v>
      </c>
      <c r="M8">
        <v>0</v>
      </c>
      <c r="N8" t="s">
        <v>191</v>
      </c>
      <c r="O8" t="s">
        <v>191</v>
      </c>
      <c r="P8" t="s">
        <v>475</v>
      </c>
      <c r="Q8">
        <v>15.93</v>
      </c>
      <c r="R8">
        <v>0</v>
      </c>
      <c r="S8">
        <v>0</v>
      </c>
      <c r="T8">
        <v>2101</v>
      </c>
    </row>
    <row r="9" spans="1:20" x14ac:dyDescent="0.25">
      <c r="A9">
        <v>0</v>
      </c>
      <c r="B9">
        <v>0</v>
      </c>
      <c r="C9">
        <v>9</v>
      </c>
      <c r="D9" s="2">
        <v>106.43</v>
      </c>
      <c r="E9" t="s">
        <v>474</v>
      </c>
      <c r="F9">
        <v>0</v>
      </c>
      <c r="G9">
        <v>0</v>
      </c>
      <c r="H9" t="s">
        <v>180</v>
      </c>
      <c r="I9" t="s">
        <v>317</v>
      </c>
      <c r="J9" t="s">
        <v>4</v>
      </c>
      <c r="K9" t="s">
        <v>473</v>
      </c>
      <c r="L9">
        <v>0</v>
      </c>
      <c r="M9">
        <v>0</v>
      </c>
      <c r="N9" t="s">
        <v>191</v>
      </c>
      <c r="O9" t="s">
        <v>191</v>
      </c>
      <c r="P9" t="s">
        <v>475</v>
      </c>
      <c r="Q9" s="2">
        <v>9.58</v>
      </c>
      <c r="R9">
        <v>0</v>
      </c>
      <c r="S9">
        <v>0</v>
      </c>
      <c r="T9">
        <v>2101</v>
      </c>
    </row>
    <row r="10" spans="1:20" x14ac:dyDescent="0.25">
      <c r="A10">
        <v>0</v>
      </c>
      <c r="B10">
        <v>0</v>
      </c>
      <c r="C10">
        <v>6</v>
      </c>
      <c r="D10">
        <v>239.1</v>
      </c>
      <c r="E10" t="s">
        <v>474</v>
      </c>
      <c r="F10">
        <v>0</v>
      </c>
      <c r="G10">
        <v>0</v>
      </c>
      <c r="H10" t="s">
        <v>180</v>
      </c>
      <c r="I10" t="s">
        <v>284</v>
      </c>
      <c r="J10" t="s">
        <v>4</v>
      </c>
      <c r="K10" t="s">
        <v>473</v>
      </c>
      <c r="L10">
        <v>0</v>
      </c>
      <c r="M10">
        <v>0</v>
      </c>
      <c r="N10" t="s">
        <v>191</v>
      </c>
      <c r="O10" t="s">
        <v>191</v>
      </c>
      <c r="P10" t="s">
        <v>475</v>
      </c>
      <c r="Q10">
        <v>14.35</v>
      </c>
      <c r="R10">
        <v>0</v>
      </c>
      <c r="S10">
        <v>0</v>
      </c>
      <c r="T10">
        <v>2101</v>
      </c>
    </row>
    <row r="11" spans="1:20" x14ac:dyDescent="0.25">
      <c r="A11">
        <v>0</v>
      </c>
      <c r="B11">
        <v>0</v>
      </c>
      <c r="C11">
        <v>9</v>
      </c>
      <c r="D11">
        <v>267.95999999999998</v>
      </c>
      <c r="E11" t="s">
        <v>474</v>
      </c>
      <c r="F11">
        <v>0</v>
      </c>
      <c r="G11">
        <v>0</v>
      </c>
      <c r="H11" t="s">
        <v>180</v>
      </c>
      <c r="I11" t="s">
        <v>317</v>
      </c>
      <c r="J11" t="s">
        <v>4</v>
      </c>
      <c r="K11" t="s">
        <v>473</v>
      </c>
      <c r="L11">
        <v>0</v>
      </c>
      <c r="M11">
        <v>0</v>
      </c>
      <c r="N11" t="s">
        <v>191</v>
      </c>
      <c r="O11" t="s">
        <v>191</v>
      </c>
      <c r="P11" t="s">
        <v>475</v>
      </c>
      <c r="Q11">
        <v>24.12</v>
      </c>
      <c r="R11">
        <v>0</v>
      </c>
      <c r="S11">
        <v>0</v>
      </c>
      <c r="T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autoPageBreaks="0"/>
  </sheetPr>
  <dimension ref="A1:I12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234</v>
      </c>
      <c r="C1" t="s">
        <v>242</v>
      </c>
      <c r="D1" t="s">
        <v>756</v>
      </c>
      <c r="E1" t="s">
        <v>240</v>
      </c>
      <c r="F1" t="s">
        <v>6</v>
      </c>
      <c r="G1" t="s">
        <v>5</v>
      </c>
      <c r="H1" t="s">
        <v>728</v>
      </c>
      <c r="I1" t="s">
        <v>249</v>
      </c>
    </row>
    <row r="2" spans="1:9" x14ac:dyDescent="0.25">
      <c r="A2">
        <v>15.92</v>
      </c>
      <c r="B2">
        <v>1</v>
      </c>
      <c r="C2">
        <v>265.27999999999997</v>
      </c>
      <c r="D2" t="s">
        <v>283</v>
      </c>
      <c r="E2" t="s">
        <v>284</v>
      </c>
      <c r="F2">
        <v>0</v>
      </c>
      <c r="G2">
        <v>15.92</v>
      </c>
      <c r="H2">
        <v>0</v>
      </c>
      <c r="I2">
        <v>0</v>
      </c>
    </row>
    <row r="3" spans="1:9" x14ac:dyDescent="0.25">
      <c r="A3">
        <v>15.93</v>
      </c>
      <c r="B3">
        <v>1</v>
      </c>
      <c r="C3">
        <v>265.48</v>
      </c>
      <c r="D3" t="s">
        <v>283</v>
      </c>
      <c r="E3" t="s">
        <v>284</v>
      </c>
      <c r="F3">
        <v>0</v>
      </c>
      <c r="G3">
        <v>15.93</v>
      </c>
      <c r="H3">
        <v>0</v>
      </c>
      <c r="I3">
        <v>0</v>
      </c>
    </row>
    <row r="4" spans="1:9" x14ac:dyDescent="0.25">
      <c r="A4" s="2">
        <v>9.58</v>
      </c>
      <c r="B4">
        <v>1</v>
      </c>
      <c r="C4" s="2">
        <v>106.43</v>
      </c>
      <c r="D4" t="s">
        <v>316</v>
      </c>
      <c r="E4" t="s">
        <v>317</v>
      </c>
      <c r="F4">
        <v>0</v>
      </c>
      <c r="G4" s="2">
        <v>9.58</v>
      </c>
      <c r="H4">
        <v>0</v>
      </c>
      <c r="I4">
        <v>0</v>
      </c>
    </row>
    <row r="5" spans="1:9" x14ac:dyDescent="0.25">
      <c r="A5">
        <v>14.35</v>
      </c>
      <c r="B5">
        <v>1</v>
      </c>
      <c r="C5">
        <v>239.1</v>
      </c>
      <c r="D5" t="s">
        <v>283</v>
      </c>
      <c r="E5" t="s">
        <v>284</v>
      </c>
      <c r="F5">
        <v>0</v>
      </c>
      <c r="G5">
        <v>14.35</v>
      </c>
      <c r="H5">
        <v>0</v>
      </c>
      <c r="I5">
        <v>0</v>
      </c>
    </row>
    <row r="6" spans="1:9" x14ac:dyDescent="0.25">
      <c r="A6">
        <v>0</v>
      </c>
      <c r="B6">
        <v>1</v>
      </c>
      <c r="C6">
        <v>0</v>
      </c>
      <c r="D6" t="s">
        <v>283</v>
      </c>
      <c r="E6" t="s">
        <v>284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24.12</v>
      </c>
      <c r="B7">
        <v>1</v>
      </c>
      <c r="C7">
        <v>267.95999999999998</v>
      </c>
      <c r="D7" t="s">
        <v>316</v>
      </c>
      <c r="E7" t="s">
        <v>317</v>
      </c>
      <c r="F7">
        <v>0</v>
      </c>
      <c r="G7">
        <v>24.12</v>
      </c>
      <c r="H7">
        <v>0</v>
      </c>
      <c r="I7">
        <v>0</v>
      </c>
    </row>
    <row r="8" spans="1:9" x14ac:dyDescent="0.25">
      <c r="A8">
        <v>0.01</v>
      </c>
      <c r="B8">
        <v>1</v>
      </c>
      <c r="C8">
        <v>1.49</v>
      </c>
      <c r="D8" t="s">
        <v>416</v>
      </c>
      <c r="E8" t="s">
        <v>417</v>
      </c>
      <c r="F8">
        <v>0</v>
      </c>
      <c r="G8">
        <v>0.01</v>
      </c>
      <c r="H8">
        <v>0</v>
      </c>
      <c r="I8">
        <v>0</v>
      </c>
    </row>
    <row r="9" spans="1:9" x14ac:dyDescent="0.25">
      <c r="A9">
        <v>0.13</v>
      </c>
      <c r="B9">
        <v>1</v>
      </c>
      <c r="C9">
        <v>1.45</v>
      </c>
      <c r="D9" t="s">
        <v>316</v>
      </c>
      <c r="E9" t="s">
        <v>317</v>
      </c>
      <c r="F9">
        <v>0</v>
      </c>
      <c r="G9">
        <v>0.13</v>
      </c>
      <c r="H9">
        <v>0</v>
      </c>
      <c r="I9">
        <v>0</v>
      </c>
    </row>
    <row r="10" spans="1:9" x14ac:dyDescent="0.25">
      <c r="A10">
        <v>0.09</v>
      </c>
      <c r="B10">
        <v>1</v>
      </c>
      <c r="C10">
        <v>1.46</v>
      </c>
      <c r="D10" t="s">
        <v>431</v>
      </c>
      <c r="E10" t="s">
        <v>284</v>
      </c>
      <c r="F10">
        <v>0</v>
      </c>
      <c r="G10">
        <v>0.09</v>
      </c>
      <c r="H10">
        <v>0</v>
      </c>
      <c r="I10">
        <v>0</v>
      </c>
    </row>
    <row r="11" spans="1:9" x14ac:dyDescent="0.25">
      <c r="A11">
        <v>0.21</v>
      </c>
      <c r="B11">
        <v>1</v>
      </c>
      <c r="C11">
        <v>1.47</v>
      </c>
      <c r="D11" t="s">
        <v>439</v>
      </c>
      <c r="E11" t="s">
        <v>440</v>
      </c>
      <c r="F11">
        <v>0</v>
      </c>
      <c r="G11">
        <v>0.21</v>
      </c>
      <c r="H11">
        <v>0</v>
      </c>
      <c r="I11">
        <v>0</v>
      </c>
    </row>
    <row r="12" spans="1:9" x14ac:dyDescent="0.25">
      <c r="A12">
        <v>0.02</v>
      </c>
      <c r="B12">
        <v>1</v>
      </c>
      <c r="C12">
        <v>1.48</v>
      </c>
      <c r="D12" t="s">
        <v>449</v>
      </c>
      <c r="E12" t="s">
        <v>450</v>
      </c>
      <c r="F12">
        <v>0</v>
      </c>
      <c r="G12">
        <v>0.02</v>
      </c>
      <c r="H12">
        <v>0</v>
      </c>
      <c r="I1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459</v>
      </c>
      <c r="B1" t="s">
        <v>460</v>
      </c>
      <c r="C1" t="s">
        <v>458</v>
      </c>
      <c r="D1" t="s">
        <v>461</v>
      </c>
      <c r="E1" t="s">
        <v>368</v>
      </c>
      <c r="F1" t="s">
        <v>467</v>
      </c>
      <c r="G1" t="s">
        <v>767</v>
      </c>
      <c r="H1" t="s">
        <v>469</v>
      </c>
      <c r="I1" t="s">
        <v>240</v>
      </c>
      <c r="J1" t="s">
        <v>456</v>
      </c>
      <c r="K1" t="s">
        <v>457</v>
      </c>
      <c r="L1" t="s">
        <v>465</v>
      </c>
      <c r="M1" t="s">
        <v>466</v>
      </c>
      <c r="N1" t="s">
        <v>464</v>
      </c>
      <c r="O1" t="s">
        <v>468</v>
      </c>
      <c r="P1" t="s">
        <v>463</v>
      </c>
      <c r="Q1" t="s">
        <v>462</v>
      </c>
      <c r="R1" t="s">
        <v>470</v>
      </c>
      <c r="S1" t="s">
        <v>471</v>
      </c>
      <c r="T1" t="s">
        <v>472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3.425781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459</v>
      </c>
      <c r="B1" t="s">
        <v>460</v>
      </c>
      <c r="C1" t="s">
        <v>458</v>
      </c>
      <c r="D1" t="s">
        <v>461</v>
      </c>
      <c r="E1" t="s">
        <v>368</v>
      </c>
      <c r="F1" t="s">
        <v>467</v>
      </c>
      <c r="G1" t="s">
        <v>767</v>
      </c>
      <c r="H1" t="s">
        <v>469</v>
      </c>
      <c r="I1" t="s">
        <v>240</v>
      </c>
      <c r="J1" t="s">
        <v>456</v>
      </c>
      <c r="K1" t="s">
        <v>457</v>
      </c>
      <c r="L1" t="s">
        <v>465</v>
      </c>
      <c r="M1" t="s">
        <v>466</v>
      </c>
      <c r="N1" t="s">
        <v>464</v>
      </c>
      <c r="O1" t="s">
        <v>468</v>
      </c>
      <c r="P1" t="s">
        <v>463</v>
      </c>
      <c r="Q1" t="s">
        <v>462</v>
      </c>
      <c r="R1" t="s">
        <v>470</v>
      </c>
      <c r="S1" t="s">
        <v>471</v>
      </c>
      <c r="T1" t="s">
        <v>472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474</v>
      </c>
      <c r="F2">
        <v>0</v>
      </c>
      <c r="G2">
        <v>0</v>
      </c>
      <c r="H2" t="s">
        <v>180</v>
      </c>
      <c r="I2" t="s">
        <v>417</v>
      </c>
      <c r="J2" t="s">
        <v>5</v>
      </c>
      <c r="K2" t="s">
        <v>473</v>
      </c>
      <c r="L2">
        <v>0</v>
      </c>
      <c r="M2">
        <v>0</v>
      </c>
      <c r="N2" t="s">
        <v>191</v>
      </c>
      <c r="O2" t="s">
        <v>191</v>
      </c>
      <c r="P2" t="s">
        <v>476</v>
      </c>
      <c r="Q2">
        <v>0.01</v>
      </c>
      <c r="R2">
        <v>0</v>
      </c>
      <c r="S2">
        <v>0</v>
      </c>
      <c r="T2">
        <v>2102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474</v>
      </c>
      <c r="F3">
        <v>0</v>
      </c>
      <c r="G3">
        <v>0</v>
      </c>
      <c r="H3" t="s">
        <v>180</v>
      </c>
      <c r="I3" t="s">
        <v>317</v>
      </c>
      <c r="J3" t="s">
        <v>5</v>
      </c>
      <c r="K3" t="s">
        <v>473</v>
      </c>
      <c r="L3">
        <v>0</v>
      </c>
      <c r="M3">
        <v>0</v>
      </c>
      <c r="N3" t="s">
        <v>191</v>
      </c>
      <c r="O3" t="s">
        <v>191</v>
      </c>
      <c r="P3" t="s">
        <v>476</v>
      </c>
      <c r="Q3">
        <v>0.13</v>
      </c>
      <c r="R3">
        <v>0</v>
      </c>
      <c r="S3">
        <v>0</v>
      </c>
      <c r="T3">
        <v>2102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474</v>
      </c>
      <c r="F4">
        <v>0</v>
      </c>
      <c r="G4">
        <v>0</v>
      </c>
      <c r="H4" t="s">
        <v>180</v>
      </c>
      <c r="I4" t="s">
        <v>284</v>
      </c>
      <c r="J4" t="s">
        <v>5</v>
      </c>
      <c r="K4" t="s">
        <v>473</v>
      </c>
      <c r="L4">
        <v>0</v>
      </c>
      <c r="M4">
        <v>0</v>
      </c>
      <c r="N4" t="s">
        <v>191</v>
      </c>
      <c r="O4" t="s">
        <v>191</v>
      </c>
      <c r="P4" t="s">
        <v>476</v>
      </c>
      <c r="Q4">
        <v>0.09</v>
      </c>
      <c r="R4">
        <v>0</v>
      </c>
      <c r="S4">
        <v>0</v>
      </c>
      <c r="T4">
        <v>2102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474</v>
      </c>
      <c r="F5">
        <v>0</v>
      </c>
      <c r="G5">
        <v>0</v>
      </c>
      <c r="H5" t="s">
        <v>180</v>
      </c>
      <c r="I5" t="s">
        <v>440</v>
      </c>
      <c r="J5" t="s">
        <v>5</v>
      </c>
      <c r="K5" t="s">
        <v>473</v>
      </c>
      <c r="L5">
        <v>0</v>
      </c>
      <c r="M5">
        <v>0</v>
      </c>
      <c r="N5" t="s">
        <v>191</v>
      </c>
      <c r="O5" t="s">
        <v>191</v>
      </c>
      <c r="P5" t="s">
        <v>476</v>
      </c>
      <c r="Q5">
        <v>0.21</v>
      </c>
      <c r="R5">
        <v>0</v>
      </c>
      <c r="S5">
        <v>0</v>
      </c>
      <c r="T5">
        <v>2102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474</v>
      </c>
      <c r="F6">
        <v>0</v>
      </c>
      <c r="G6">
        <v>0</v>
      </c>
      <c r="H6" t="s">
        <v>180</v>
      </c>
      <c r="I6" t="s">
        <v>450</v>
      </c>
      <c r="J6" t="s">
        <v>5</v>
      </c>
      <c r="K6" t="s">
        <v>473</v>
      </c>
      <c r="L6">
        <v>0</v>
      </c>
      <c r="M6">
        <v>0</v>
      </c>
      <c r="N6" t="s">
        <v>191</v>
      </c>
      <c r="O6" t="s">
        <v>191</v>
      </c>
      <c r="P6" t="s">
        <v>476</v>
      </c>
      <c r="Q6">
        <v>0.02</v>
      </c>
      <c r="R6">
        <v>0</v>
      </c>
      <c r="S6">
        <v>0</v>
      </c>
      <c r="T6">
        <v>2102</v>
      </c>
    </row>
    <row r="7" spans="1:20" x14ac:dyDescent="0.25">
      <c r="A7">
        <v>0</v>
      </c>
      <c r="B7">
        <v>0</v>
      </c>
      <c r="C7">
        <v>6</v>
      </c>
      <c r="D7">
        <v>265.27999999999997</v>
      </c>
      <c r="E7" t="s">
        <v>474</v>
      </c>
      <c r="F7">
        <v>0</v>
      </c>
      <c r="G7">
        <v>0</v>
      </c>
      <c r="H7" t="s">
        <v>180</v>
      </c>
      <c r="I7" t="s">
        <v>284</v>
      </c>
      <c r="J7" t="s">
        <v>5</v>
      </c>
      <c r="K7" t="s">
        <v>473</v>
      </c>
      <c r="L7">
        <v>0</v>
      </c>
      <c r="M7">
        <v>0</v>
      </c>
      <c r="N7" t="s">
        <v>191</v>
      </c>
      <c r="O7" t="s">
        <v>191</v>
      </c>
      <c r="P7" t="s">
        <v>476</v>
      </c>
      <c r="Q7">
        <v>15.92</v>
      </c>
      <c r="R7">
        <v>0</v>
      </c>
      <c r="S7">
        <v>0</v>
      </c>
      <c r="T7">
        <v>2102</v>
      </c>
    </row>
    <row r="8" spans="1:20" x14ac:dyDescent="0.25">
      <c r="A8">
        <v>0</v>
      </c>
      <c r="B8">
        <v>0</v>
      </c>
      <c r="C8">
        <v>6</v>
      </c>
      <c r="D8">
        <v>265.48</v>
      </c>
      <c r="E8" t="s">
        <v>474</v>
      </c>
      <c r="F8">
        <v>0</v>
      </c>
      <c r="G8">
        <v>0</v>
      </c>
      <c r="H8" t="s">
        <v>180</v>
      </c>
      <c r="I8" t="s">
        <v>284</v>
      </c>
      <c r="J8" t="s">
        <v>5</v>
      </c>
      <c r="K8" t="s">
        <v>473</v>
      </c>
      <c r="L8">
        <v>0</v>
      </c>
      <c r="M8">
        <v>0</v>
      </c>
      <c r="N8" t="s">
        <v>191</v>
      </c>
      <c r="O8" t="s">
        <v>191</v>
      </c>
      <c r="P8" t="s">
        <v>476</v>
      </c>
      <c r="Q8">
        <v>15.93</v>
      </c>
      <c r="R8">
        <v>0</v>
      </c>
      <c r="S8">
        <v>0</v>
      </c>
      <c r="T8">
        <v>2102</v>
      </c>
    </row>
    <row r="9" spans="1:20" x14ac:dyDescent="0.25">
      <c r="A9">
        <v>0</v>
      </c>
      <c r="B9">
        <v>0</v>
      </c>
      <c r="C9">
        <v>9</v>
      </c>
      <c r="D9" s="2">
        <v>106.43</v>
      </c>
      <c r="E9" t="s">
        <v>474</v>
      </c>
      <c r="F9">
        <v>0</v>
      </c>
      <c r="G9">
        <v>0</v>
      </c>
      <c r="H9" t="s">
        <v>180</v>
      </c>
      <c r="I9" t="s">
        <v>317</v>
      </c>
      <c r="J9" t="s">
        <v>5</v>
      </c>
      <c r="K9" t="s">
        <v>473</v>
      </c>
      <c r="L9">
        <v>0</v>
      </c>
      <c r="M9">
        <v>0</v>
      </c>
      <c r="N9" t="s">
        <v>191</v>
      </c>
      <c r="O9" t="s">
        <v>191</v>
      </c>
      <c r="P9" t="s">
        <v>476</v>
      </c>
      <c r="Q9" s="2">
        <v>9.58</v>
      </c>
      <c r="R9">
        <v>0</v>
      </c>
      <c r="S9">
        <v>0</v>
      </c>
      <c r="T9">
        <v>2102</v>
      </c>
    </row>
    <row r="10" spans="1:20" x14ac:dyDescent="0.25">
      <c r="A10">
        <v>0</v>
      </c>
      <c r="B10">
        <v>0</v>
      </c>
      <c r="C10">
        <v>6</v>
      </c>
      <c r="D10">
        <v>239.1</v>
      </c>
      <c r="E10" t="s">
        <v>474</v>
      </c>
      <c r="F10">
        <v>0</v>
      </c>
      <c r="G10">
        <v>0</v>
      </c>
      <c r="H10" t="s">
        <v>180</v>
      </c>
      <c r="I10" t="s">
        <v>284</v>
      </c>
      <c r="J10" t="s">
        <v>5</v>
      </c>
      <c r="K10" t="s">
        <v>473</v>
      </c>
      <c r="L10">
        <v>0</v>
      </c>
      <c r="M10">
        <v>0</v>
      </c>
      <c r="N10" t="s">
        <v>191</v>
      </c>
      <c r="O10" t="s">
        <v>191</v>
      </c>
      <c r="P10" t="s">
        <v>476</v>
      </c>
      <c r="Q10">
        <v>14.35</v>
      </c>
      <c r="R10">
        <v>0</v>
      </c>
      <c r="S10">
        <v>0</v>
      </c>
      <c r="T10">
        <v>2102</v>
      </c>
    </row>
    <row r="11" spans="1:20" x14ac:dyDescent="0.25">
      <c r="A11">
        <v>0</v>
      </c>
      <c r="B11">
        <v>0</v>
      </c>
      <c r="C11">
        <v>9</v>
      </c>
      <c r="D11">
        <v>267.95999999999998</v>
      </c>
      <c r="E11" t="s">
        <v>474</v>
      </c>
      <c r="F11">
        <v>0</v>
      </c>
      <c r="G11">
        <v>0</v>
      </c>
      <c r="H11" t="s">
        <v>180</v>
      </c>
      <c r="I11" t="s">
        <v>317</v>
      </c>
      <c r="J11" t="s">
        <v>5</v>
      </c>
      <c r="K11" t="s">
        <v>473</v>
      </c>
      <c r="L11">
        <v>0</v>
      </c>
      <c r="M11">
        <v>0</v>
      </c>
      <c r="N11" t="s">
        <v>191</v>
      </c>
      <c r="O11" t="s">
        <v>191</v>
      </c>
      <c r="P11" t="s">
        <v>476</v>
      </c>
      <c r="Q11">
        <v>24.12</v>
      </c>
      <c r="R11">
        <v>0</v>
      </c>
      <c r="S11">
        <v>0</v>
      </c>
      <c r="T11">
        <v>2102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45.42578125" bestFit="1" customWidth="1"/>
  </cols>
  <sheetData>
    <row r="1" spans="1:1" x14ac:dyDescent="0.25">
      <c r="A1" t="s">
        <v>168</v>
      </c>
    </row>
    <row r="2" spans="1:1" x14ac:dyDescent="0.25">
      <c r="A2" t="s">
        <v>195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autoPageBreaks="0"/>
  </sheetPr>
  <dimension ref="A1:B12"/>
  <sheetViews>
    <sheetView workbookViewId="0"/>
  </sheetViews>
  <sheetFormatPr defaultRowHeight="15" x14ac:dyDescent="0.25"/>
  <cols>
    <col min="1" max="1" width="14.42578125" bestFit="1" customWidth="1"/>
    <col min="2" max="2" width="17.28515625" bestFit="1" customWidth="1"/>
  </cols>
  <sheetData>
    <row r="1" spans="1:2" x14ac:dyDescent="0.25">
      <c r="A1" t="s">
        <v>243</v>
      </c>
      <c r="B1" t="s">
        <v>768</v>
      </c>
    </row>
    <row r="2" spans="1:2" x14ac:dyDescent="0.25">
      <c r="A2">
        <v>1.5</v>
      </c>
      <c r="B2">
        <v>26</v>
      </c>
    </row>
    <row r="3" spans="1:2" x14ac:dyDescent="0.25">
      <c r="A3">
        <v>18</v>
      </c>
      <c r="B3">
        <v>26</v>
      </c>
    </row>
    <row r="4" spans="1:2" x14ac:dyDescent="0.25">
      <c r="A4">
        <v>12</v>
      </c>
      <c r="B4">
        <v>26</v>
      </c>
    </row>
    <row r="5" spans="1:2" x14ac:dyDescent="0.25">
      <c r="A5">
        <v>28</v>
      </c>
      <c r="B5">
        <v>26</v>
      </c>
    </row>
    <row r="6" spans="1:2" x14ac:dyDescent="0.25">
      <c r="A6">
        <v>3</v>
      </c>
      <c r="B6">
        <v>26</v>
      </c>
    </row>
    <row r="7" spans="1:2" x14ac:dyDescent="0.25">
      <c r="A7">
        <v>12</v>
      </c>
      <c r="B7">
        <v>26</v>
      </c>
    </row>
    <row r="8" spans="1:2" x14ac:dyDescent="0.25">
      <c r="A8">
        <v>12</v>
      </c>
      <c r="B8">
        <v>26</v>
      </c>
    </row>
    <row r="9" spans="1:2" x14ac:dyDescent="0.25">
      <c r="A9">
        <v>18</v>
      </c>
      <c r="B9">
        <v>26</v>
      </c>
    </row>
    <row r="10" spans="1:2" x14ac:dyDescent="0.25">
      <c r="A10">
        <v>12</v>
      </c>
      <c r="B10">
        <v>26</v>
      </c>
    </row>
    <row r="11" spans="1:2" x14ac:dyDescent="0.25">
      <c r="A11">
        <v>12</v>
      </c>
      <c r="B11">
        <v>26</v>
      </c>
    </row>
    <row r="12" spans="1:2" x14ac:dyDescent="0.25">
      <c r="A12">
        <v>18</v>
      </c>
      <c r="B12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11.42578125" bestFit="1" customWidth="1"/>
    <col min="4" max="4" width="32.5703125" bestFit="1" customWidth="1"/>
  </cols>
  <sheetData>
    <row r="1" spans="1:4" x14ac:dyDescent="0.25">
      <c r="A1" t="s">
        <v>207</v>
      </c>
      <c r="B1" t="s">
        <v>213</v>
      </c>
      <c r="C1" t="s">
        <v>208</v>
      </c>
      <c r="D1" t="s">
        <v>212</v>
      </c>
    </row>
    <row r="2" spans="1:4" x14ac:dyDescent="0.25">
      <c r="A2" t="s">
        <v>331</v>
      </c>
      <c r="B2" t="s">
        <v>186</v>
      </c>
      <c r="C2" t="s">
        <v>769</v>
      </c>
      <c r="D2" t="s">
        <v>281</v>
      </c>
    </row>
    <row r="3" spans="1:4" x14ac:dyDescent="0.25">
      <c r="A3" t="s">
        <v>331</v>
      </c>
      <c r="B3" t="s">
        <v>186</v>
      </c>
      <c r="C3" t="s">
        <v>770</v>
      </c>
      <c r="D3" t="s">
        <v>281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autoPageBreaks="0"/>
  </sheetPr>
  <dimension ref="A1:E7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32.5703125" bestFit="1" customWidth="1"/>
  </cols>
  <sheetData>
    <row r="1" spans="1:5" x14ac:dyDescent="0.25">
      <c r="A1" t="s">
        <v>154</v>
      </c>
      <c r="B1" t="s">
        <v>204</v>
      </c>
      <c r="C1" t="s">
        <v>207</v>
      </c>
      <c r="D1" t="s">
        <v>213</v>
      </c>
      <c r="E1" t="s">
        <v>212</v>
      </c>
    </row>
    <row r="2" spans="1:5" x14ac:dyDescent="0.25">
      <c r="A2" s="1">
        <v>45849</v>
      </c>
      <c r="B2" t="s">
        <v>276</v>
      </c>
      <c r="C2" t="s">
        <v>276</v>
      </c>
      <c r="D2">
        <v>2.1349999999999998</v>
      </c>
      <c r="E2" t="s">
        <v>281</v>
      </c>
    </row>
    <row r="3" spans="1:5" x14ac:dyDescent="0.25">
      <c r="A3" s="1">
        <v>45849</v>
      </c>
      <c r="B3" t="s">
        <v>297</v>
      </c>
      <c r="C3" t="s">
        <v>297</v>
      </c>
      <c r="D3">
        <v>2.2269999999999999</v>
      </c>
      <c r="E3" t="s">
        <v>281</v>
      </c>
    </row>
    <row r="4" spans="1:5" x14ac:dyDescent="0.25">
      <c r="A4" s="1">
        <v>45849</v>
      </c>
      <c r="B4" t="s">
        <v>311</v>
      </c>
      <c r="C4" t="s">
        <v>311</v>
      </c>
      <c r="D4">
        <v>2.2309999999999999</v>
      </c>
      <c r="E4" t="s">
        <v>281</v>
      </c>
    </row>
    <row r="5" spans="1:5" x14ac:dyDescent="0.25">
      <c r="A5" s="1">
        <v>45849</v>
      </c>
      <c r="B5" t="s">
        <v>330</v>
      </c>
      <c r="C5" t="s">
        <v>331</v>
      </c>
      <c r="D5">
        <v>1</v>
      </c>
      <c r="E5" t="s">
        <v>281</v>
      </c>
    </row>
    <row r="6" spans="1:5" x14ac:dyDescent="0.25">
      <c r="A6" s="1">
        <v>45849</v>
      </c>
      <c r="B6" t="s">
        <v>330</v>
      </c>
      <c r="C6" t="s">
        <v>331</v>
      </c>
      <c r="D6">
        <v>1</v>
      </c>
      <c r="E6" t="s">
        <v>281</v>
      </c>
    </row>
    <row r="7" spans="1:5" x14ac:dyDescent="0.25">
      <c r="A7" s="1">
        <v>45849</v>
      </c>
      <c r="B7" t="s">
        <v>352</v>
      </c>
      <c r="C7" t="s">
        <v>353</v>
      </c>
      <c r="D7">
        <v>2.23</v>
      </c>
      <c r="E7" t="s">
        <v>281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154</v>
      </c>
      <c r="B1" t="s">
        <v>178</v>
      </c>
      <c r="C1" t="s">
        <v>771</v>
      </c>
      <c r="D1" t="s">
        <v>772</v>
      </c>
      <c r="E1" t="s">
        <v>773</v>
      </c>
      <c r="F1" t="s">
        <v>204</v>
      </c>
      <c r="G1" t="s">
        <v>207</v>
      </c>
      <c r="H1" t="s">
        <v>774</v>
      </c>
      <c r="I1" t="s">
        <v>212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autoPageBreaks="0"/>
  </sheetPr>
  <dimension ref="A1:H7"/>
  <sheetViews>
    <sheetView workbookViewId="0"/>
  </sheetViews>
  <sheetFormatPr defaultRowHeight="15" x14ac:dyDescent="0.25"/>
  <cols>
    <col min="1" max="1" width="10.140625" bestFit="1" customWidth="1"/>
    <col min="2" max="2" width="15.42578125" bestFit="1" customWidth="1"/>
    <col min="3" max="4" width="11.28515625" bestFit="1" customWidth="1"/>
    <col min="5" max="5" width="23.42578125" bestFit="1" customWidth="1"/>
    <col min="6" max="6" width="30.28515625" bestFit="1" customWidth="1"/>
    <col min="7" max="7" width="8.7109375" bestFit="1" customWidth="1"/>
    <col min="8" max="8" width="32.5703125" bestFit="1" customWidth="1"/>
  </cols>
  <sheetData>
    <row r="1" spans="1:8" x14ac:dyDescent="0.25">
      <c r="A1" t="s">
        <v>154</v>
      </c>
      <c r="B1" t="s">
        <v>178</v>
      </c>
      <c r="C1" t="s">
        <v>771</v>
      </c>
      <c r="D1" t="s">
        <v>773</v>
      </c>
      <c r="E1" t="s">
        <v>204</v>
      </c>
      <c r="F1" t="s">
        <v>207</v>
      </c>
      <c r="G1" t="s">
        <v>213</v>
      </c>
      <c r="H1" t="s">
        <v>212</v>
      </c>
    </row>
    <row r="2" spans="1:8" x14ac:dyDescent="0.25">
      <c r="A2" s="1">
        <v>45849</v>
      </c>
      <c r="B2" t="s">
        <v>186</v>
      </c>
      <c r="C2" t="s">
        <v>191</v>
      </c>
      <c r="D2">
        <v>0</v>
      </c>
      <c r="E2" t="s">
        <v>276</v>
      </c>
      <c r="F2" t="s">
        <v>276</v>
      </c>
      <c r="G2">
        <v>2.1349999999999998</v>
      </c>
      <c r="H2" t="s">
        <v>281</v>
      </c>
    </row>
    <row r="3" spans="1:8" x14ac:dyDescent="0.25">
      <c r="A3" s="1">
        <v>45849</v>
      </c>
      <c r="B3" t="s">
        <v>186</v>
      </c>
      <c r="C3" t="s">
        <v>191</v>
      </c>
      <c r="D3">
        <v>0</v>
      </c>
      <c r="E3" t="s">
        <v>297</v>
      </c>
      <c r="F3" t="s">
        <v>297</v>
      </c>
      <c r="G3">
        <v>2.2269999999999999</v>
      </c>
      <c r="H3" t="s">
        <v>281</v>
      </c>
    </row>
    <row r="4" spans="1:8" x14ac:dyDescent="0.25">
      <c r="A4" s="1">
        <v>45849</v>
      </c>
      <c r="B4" t="s">
        <v>186</v>
      </c>
      <c r="C4" t="s">
        <v>191</v>
      </c>
      <c r="D4">
        <v>0</v>
      </c>
      <c r="E4" t="s">
        <v>311</v>
      </c>
      <c r="F4" t="s">
        <v>311</v>
      </c>
      <c r="G4">
        <v>2.2309999999999999</v>
      </c>
      <c r="H4" t="s">
        <v>281</v>
      </c>
    </row>
    <row r="5" spans="1:8" x14ac:dyDescent="0.25">
      <c r="A5" s="1">
        <v>45849</v>
      </c>
      <c r="B5" t="s">
        <v>186</v>
      </c>
      <c r="C5" t="s">
        <v>191</v>
      </c>
      <c r="D5">
        <v>0</v>
      </c>
      <c r="E5" t="s">
        <v>330</v>
      </c>
      <c r="F5" t="s">
        <v>331</v>
      </c>
      <c r="G5">
        <v>1</v>
      </c>
      <c r="H5" t="s">
        <v>281</v>
      </c>
    </row>
    <row r="6" spans="1:8" x14ac:dyDescent="0.25">
      <c r="A6" s="1">
        <v>45849</v>
      </c>
      <c r="B6" t="s">
        <v>186</v>
      </c>
      <c r="C6" t="s">
        <v>191</v>
      </c>
      <c r="D6">
        <v>0</v>
      </c>
      <c r="E6" t="s">
        <v>330</v>
      </c>
      <c r="F6" t="s">
        <v>331</v>
      </c>
      <c r="G6">
        <v>1</v>
      </c>
      <c r="H6" t="s">
        <v>281</v>
      </c>
    </row>
    <row r="7" spans="1:8" x14ac:dyDescent="0.25">
      <c r="A7" s="1">
        <v>45849</v>
      </c>
      <c r="B7" t="s">
        <v>186</v>
      </c>
      <c r="C7" t="s">
        <v>191</v>
      </c>
      <c r="D7">
        <v>0</v>
      </c>
      <c r="E7" t="s">
        <v>352</v>
      </c>
      <c r="F7" t="s">
        <v>353</v>
      </c>
      <c r="G7">
        <v>2.23</v>
      </c>
      <c r="H7" t="s">
        <v>281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autoPageBreaks="0"/>
  </sheetPr>
  <dimension ref="A1:J2"/>
  <sheetViews>
    <sheetView workbookViewId="0">
      <selection activeCell="A2" sqref="A2"/>
    </sheetView>
  </sheetViews>
  <sheetFormatPr defaultRowHeight="15" x14ac:dyDescent="0.25"/>
  <cols>
    <col min="1" max="1" width="53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6.140625" bestFit="1" customWidth="1"/>
    <col min="8" max="8" width="16.7109375" bestFit="1" customWidth="1"/>
    <col min="9" max="9" width="14.42578125" bestFit="1" customWidth="1"/>
    <col min="10" max="10" width="15.28515625" bestFit="1" customWidth="1"/>
  </cols>
  <sheetData>
    <row r="1" spans="1:10" x14ac:dyDescent="0.25">
      <c r="A1" t="s">
        <v>775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  <c r="G1" t="s">
        <v>159</v>
      </c>
      <c r="H1" t="s">
        <v>165</v>
      </c>
      <c r="I1" t="s">
        <v>781</v>
      </c>
      <c r="J1" t="s">
        <v>782</v>
      </c>
    </row>
    <row r="2" spans="1:10" x14ac:dyDescent="0.25">
      <c r="A2" t="s">
        <v>67</v>
      </c>
      <c r="B2" t="s">
        <v>182</v>
      </c>
      <c r="C2">
        <v>1</v>
      </c>
      <c r="D2" s="1">
        <v>45849</v>
      </c>
      <c r="E2" t="s">
        <v>180</v>
      </c>
      <c r="F2" t="s">
        <v>180</v>
      </c>
      <c r="G2" t="s">
        <v>183</v>
      </c>
      <c r="H2" t="s">
        <v>193</v>
      </c>
      <c r="I2" t="s">
        <v>191</v>
      </c>
      <c r="J2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autoPageBreaks="0"/>
  </sheetPr>
  <dimension ref="A1:O2"/>
  <sheetViews>
    <sheetView workbookViewId="0"/>
  </sheetViews>
  <sheetFormatPr defaultRowHeight="15" x14ac:dyDescent="0.25"/>
  <cols>
    <col min="1" max="1" width="38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140625" bestFit="1" customWidth="1"/>
    <col min="14" max="14" width="11.28515625" bestFit="1" customWidth="1"/>
    <col min="15" max="15" width="21.5703125" bestFit="1" customWidth="1"/>
  </cols>
  <sheetData>
    <row r="1" spans="1:15" x14ac:dyDescent="0.25">
      <c r="A1" t="s">
        <v>775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  <c r="G1" t="s">
        <v>159</v>
      </c>
      <c r="H1" t="s">
        <v>165</v>
      </c>
      <c r="I1" t="s">
        <v>173</v>
      </c>
      <c r="J1" t="s">
        <v>783</v>
      </c>
      <c r="K1" t="s">
        <v>784</v>
      </c>
      <c r="L1" t="s">
        <v>461</v>
      </c>
      <c r="M1" t="s">
        <v>478</v>
      </c>
      <c r="N1" t="s">
        <v>479</v>
      </c>
      <c r="O1" t="s">
        <v>480</v>
      </c>
    </row>
    <row r="2" spans="1:15" x14ac:dyDescent="0.25">
      <c r="A2" t="s">
        <v>69</v>
      </c>
      <c r="B2" t="s">
        <v>182</v>
      </c>
      <c r="C2">
        <v>67.89</v>
      </c>
      <c r="D2" s="1">
        <v>45849</v>
      </c>
      <c r="E2" t="s">
        <v>180</v>
      </c>
      <c r="F2" t="s">
        <v>180</v>
      </c>
      <c r="G2" t="s">
        <v>188</v>
      </c>
      <c r="H2" t="s">
        <v>193</v>
      </c>
      <c r="I2" t="s">
        <v>198</v>
      </c>
      <c r="J2" t="s">
        <v>481</v>
      </c>
      <c r="K2" t="s">
        <v>473</v>
      </c>
      <c r="L2" s="2">
        <v>1357.85</v>
      </c>
      <c r="M2">
        <v>5</v>
      </c>
      <c r="N2" s="2">
        <v>67.89</v>
      </c>
      <c r="O2" t="s">
        <v>482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autoPageBreaks="0"/>
  </sheetPr>
  <dimension ref="A1:V6"/>
  <sheetViews>
    <sheetView workbookViewId="0">
      <selection activeCell="I1" sqref="I1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6.710937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372</v>
      </c>
      <c r="B1" t="s">
        <v>155</v>
      </c>
      <c r="C1" t="s">
        <v>486</v>
      </c>
      <c r="D1" t="s">
        <v>485</v>
      </c>
      <c r="E1" t="s">
        <v>257</v>
      </c>
      <c r="F1" t="s">
        <v>154</v>
      </c>
      <c r="G1" t="s">
        <v>254</v>
      </c>
      <c r="H1" t="s">
        <v>177</v>
      </c>
      <c r="I1" t="s">
        <v>157</v>
      </c>
      <c r="J1" t="s">
        <v>176</v>
      </c>
      <c r="K1" t="s">
        <v>251</v>
      </c>
      <c r="L1" t="s">
        <v>253</v>
      </c>
      <c r="M1" t="s">
        <v>165</v>
      </c>
      <c r="N1" t="s">
        <v>785</v>
      </c>
      <c r="O1" t="s">
        <v>256</v>
      </c>
      <c r="P1" t="s">
        <v>255</v>
      </c>
      <c r="Q1" t="s">
        <v>786</v>
      </c>
      <c r="R1" t="s">
        <v>787</v>
      </c>
      <c r="S1" t="s">
        <v>788</v>
      </c>
      <c r="T1" t="s">
        <v>789</v>
      </c>
      <c r="U1" t="s">
        <v>169</v>
      </c>
      <c r="V1" t="s">
        <v>483</v>
      </c>
    </row>
    <row r="2" spans="1:22" x14ac:dyDescent="0.25">
      <c r="A2">
        <v>11.11</v>
      </c>
      <c r="B2" t="s">
        <v>183</v>
      </c>
      <c r="C2" t="s">
        <v>487</v>
      </c>
      <c r="D2" t="s">
        <v>487</v>
      </c>
      <c r="E2" t="s">
        <v>491</v>
      </c>
      <c r="F2" s="1">
        <v>45849</v>
      </c>
      <c r="G2" t="s">
        <v>488</v>
      </c>
      <c r="H2" s="2" t="s">
        <v>201</v>
      </c>
      <c r="I2" s="2" t="s">
        <v>185</v>
      </c>
      <c r="J2" s="2" t="s">
        <v>200</v>
      </c>
      <c r="K2">
        <v>0</v>
      </c>
      <c r="L2">
        <v>0</v>
      </c>
      <c r="M2" t="s">
        <v>193</v>
      </c>
      <c r="N2">
        <v>0</v>
      </c>
      <c r="O2" t="s">
        <v>490</v>
      </c>
      <c r="P2" t="s">
        <v>489</v>
      </c>
      <c r="Q2" s="2" t="s">
        <v>180</v>
      </c>
      <c r="R2" s="2">
        <v>0</v>
      </c>
      <c r="S2" s="2">
        <v>0</v>
      </c>
      <c r="T2" s="2" t="s">
        <v>180</v>
      </c>
      <c r="U2">
        <v>26</v>
      </c>
      <c r="V2" t="s">
        <v>180</v>
      </c>
    </row>
    <row r="3" spans="1:22" x14ac:dyDescent="0.25">
      <c r="A3">
        <v>11.12</v>
      </c>
      <c r="B3" t="s">
        <v>183</v>
      </c>
      <c r="C3" t="s">
        <v>493</v>
      </c>
      <c r="D3" t="s">
        <v>493</v>
      </c>
      <c r="E3" t="s">
        <v>497</v>
      </c>
      <c r="F3" s="1">
        <v>45849</v>
      </c>
      <c r="G3" t="s">
        <v>494</v>
      </c>
      <c r="H3" s="2" t="s">
        <v>201</v>
      </c>
      <c r="I3" s="2" t="s">
        <v>185</v>
      </c>
      <c r="J3" s="2" t="s">
        <v>200</v>
      </c>
      <c r="K3">
        <v>0</v>
      </c>
      <c r="L3">
        <v>0</v>
      </c>
      <c r="M3" t="s">
        <v>193</v>
      </c>
      <c r="N3">
        <v>0</v>
      </c>
      <c r="O3" t="s">
        <v>496</v>
      </c>
      <c r="P3" t="s">
        <v>495</v>
      </c>
      <c r="Q3" s="2" t="s">
        <v>180</v>
      </c>
      <c r="R3" s="2">
        <v>0</v>
      </c>
      <c r="S3" s="2">
        <v>0</v>
      </c>
      <c r="T3" s="2" t="s">
        <v>180</v>
      </c>
      <c r="U3">
        <v>26</v>
      </c>
      <c r="V3" t="s">
        <v>180</v>
      </c>
    </row>
    <row r="4" spans="1:22" x14ac:dyDescent="0.25">
      <c r="A4">
        <v>11.13</v>
      </c>
      <c r="B4" t="s">
        <v>183</v>
      </c>
      <c r="C4" t="s">
        <v>499</v>
      </c>
      <c r="D4" t="s">
        <v>499</v>
      </c>
      <c r="E4" t="s">
        <v>503</v>
      </c>
      <c r="F4" s="1">
        <v>45849</v>
      </c>
      <c r="G4" t="s">
        <v>500</v>
      </c>
      <c r="H4" s="2" t="s">
        <v>201</v>
      </c>
      <c r="I4" s="2" t="s">
        <v>185</v>
      </c>
      <c r="J4" s="2" t="s">
        <v>200</v>
      </c>
      <c r="K4">
        <v>0</v>
      </c>
      <c r="L4">
        <v>0</v>
      </c>
      <c r="M4" t="s">
        <v>193</v>
      </c>
      <c r="N4">
        <v>0</v>
      </c>
      <c r="O4" t="s">
        <v>502</v>
      </c>
      <c r="P4" t="s">
        <v>501</v>
      </c>
      <c r="Q4" s="2" t="s">
        <v>180</v>
      </c>
      <c r="R4" s="2">
        <v>0</v>
      </c>
      <c r="S4" s="2">
        <v>0</v>
      </c>
      <c r="T4" s="2" t="s">
        <v>180</v>
      </c>
      <c r="U4">
        <v>26</v>
      </c>
      <c r="V4" t="s">
        <v>180</v>
      </c>
    </row>
    <row r="5" spans="1:22" x14ac:dyDescent="0.25">
      <c r="A5">
        <v>11.14</v>
      </c>
      <c r="B5" t="s">
        <v>183</v>
      </c>
      <c r="C5" t="s">
        <v>505</v>
      </c>
      <c r="D5" t="s">
        <v>505</v>
      </c>
      <c r="E5" t="s">
        <v>509</v>
      </c>
      <c r="F5" s="1">
        <v>45849</v>
      </c>
      <c r="G5" t="s">
        <v>506</v>
      </c>
      <c r="H5" s="2" t="s">
        <v>201</v>
      </c>
      <c r="I5" s="2" t="s">
        <v>185</v>
      </c>
      <c r="J5" s="2" t="s">
        <v>200</v>
      </c>
      <c r="K5">
        <v>0</v>
      </c>
      <c r="L5">
        <v>0</v>
      </c>
      <c r="M5" t="s">
        <v>193</v>
      </c>
      <c r="N5">
        <v>0</v>
      </c>
      <c r="O5" t="s">
        <v>508</v>
      </c>
      <c r="P5" t="s">
        <v>507</v>
      </c>
      <c r="Q5" s="2" t="s">
        <v>180</v>
      </c>
      <c r="R5" s="2">
        <v>0</v>
      </c>
      <c r="S5" s="2">
        <v>0</v>
      </c>
      <c r="T5" s="2" t="s">
        <v>180</v>
      </c>
      <c r="U5">
        <v>26</v>
      </c>
      <c r="V5" t="s">
        <v>180</v>
      </c>
    </row>
    <row r="6" spans="1:22" x14ac:dyDescent="0.25">
      <c r="A6">
        <v>11.15</v>
      </c>
      <c r="B6" t="s">
        <v>183</v>
      </c>
      <c r="C6" t="s">
        <v>511</v>
      </c>
      <c r="D6" t="s">
        <v>511</v>
      </c>
      <c r="E6" t="s">
        <v>515</v>
      </c>
      <c r="F6" s="1">
        <v>45849</v>
      </c>
      <c r="G6" t="s">
        <v>512</v>
      </c>
      <c r="H6" s="2" t="s">
        <v>201</v>
      </c>
      <c r="I6" s="2" t="s">
        <v>185</v>
      </c>
      <c r="J6" s="2" t="s">
        <v>200</v>
      </c>
      <c r="K6">
        <v>0</v>
      </c>
      <c r="L6">
        <v>0</v>
      </c>
      <c r="M6" t="s">
        <v>193</v>
      </c>
      <c r="N6">
        <v>0</v>
      </c>
      <c r="O6" t="s">
        <v>514</v>
      </c>
      <c r="P6" t="s">
        <v>513</v>
      </c>
      <c r="Q6" s="2" t="s">
        <v>180</v>
      </c>
      <c r="R6" s="2">
        <v>0</v>
      </c>
      <c r="S6" s="2">
        <v>0</v>
      </c>
      <c r="T6" s="2" t="s">
        <v>180</v>
      </c>
      <c r="U6">
        <v>26</v>
      </c>
      <c r="V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autoPageBreaks="0"/>
  </sheetPr>
  <dimension ref="A1:AH6"/>
  <sheetViews>
    <sheetView topLeftCell="J1" workbookViewId="0">
      <selection activeCell="S1" sqref="S1"/>
    </sheetView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3.710937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6.710937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372</v>
      </c>
      <c r="B1" t="s">
        <v>519</v>
      </c>
      <c r="C1" t="s">
        <v>518</v>
      </c>
      <c r="D1" t="s">
        <v>155</v>
      </c>
      <c r="E1" t="s">
        <v>790</v>
      </c>
      <c r="F1" t="s">
        <v>373</v>
      </c>
      <c r="G1" t="s">
        <v>525</v>
      </c>
      <c r="H1" t="s">
        <v>524</v>
      </c>
      <c r="I1" t="s">
        <v>374</v>
      </c>
      <c r="J1" t="s">
        <v>521</v>
      </c>
      <c r="K1" t="s">
        <v>520</v>
      </c>
      <c r="L1" t="s">
        <v>257</v>
      </c>
      <c r="M1" t="s">
        <v>154</v>
      </c>
      <c r="N1" t="s">
        <v>254</v>
      </c>
      <c r="O1" t="s">
        <v>177</v>
      </c>
      <c r="P1" t="s">
        <v>522</v>
      </c>
      <c r="Q1" t="s">
        <v>791</v>
      </c>
      <c r="R1" t="s">
        <v>523</v>
      </c>
      <c r="S1" t="s">
        <v>157</v>
      </c>
      <c r="T1" t="s">
        <v>176</v>
      </c>
      <c r="U1" t="s">
        <v>251</v>
      </c>
      <c r="V1" t="s">
        <v>669</v>
      </c>
      <c r="W1" t="s">
        <v>792</v>
      </c>
      <c r="X1" t="s">
        <v>253</v>
      </c>
      <c r="Y1" t="s">
        <v>165</v>
      </c>
      <c r="Z1" t="s">
        <v>679</v>
      </c>
      <c r="AA1" t="s">
        <v>256</v>
      </c>
      <c r="AB1" t="s">
        <v>255</v>
      </c>
      <c r="AC1" t="s">
        <v>786</v>
      </c>
      <c r="AD1" t="s">
        <v>787</v>
      </c>
      <c r="AE1" t="s">
        <v>788</v>
      </c>
      <c r="AF1" t="s">
        <v>789</v>
      </c>
      <c r="AG1" t="s">
        <v>169</v>
      </c>
      <c r="AH1" t="s">
        <v>483</v>
      </c>
    </row>
    <row r="2" spans="1:34" x14ac:dyDescent="0.25">
      <c r="A2">
        <v>12.11</v>
      </c>
      <c r="B2" t="s">
        <v>526</v>
      </c>
      <c r="C2" t="s">
        <v>526</v>
      </c>
      <c r="D2" t="s">
        <v>183</v>
      </c>
      <c r="E2" t="s">
        <v>180</v>
      </c>
      <c r="F2">
        <v>1.21</v>
      </c>
      <c r="G2" t="s">
        <v>528</v>
      </c>
      <c r="H2" t="s">
        <v>528</v>
      </c>
      <c r="I2">
        <v>1.21</v>
      </c>
      <c r="J2" s="1">
        <v>45880</v>
      </c>
      <c r="K2" t="s">
        <v>527</v>
      </c>
      <c r="L2" t="s">
        <v>532</v>
      </c>
      <c r="M2" s="1">
        <v>45849</v>
      </c>
      <c r="N2" t="s">
        <v>529</v>
      </c>
      <c r="O2" s="2" t="s">
        <v>201</v>
      </c>
      <c r="P2" s="2" t="s">
        <v>526</v>
      </c>
      <c r="Q2" s="2" t="s">
        <v>180</v>
      </c>
      <c r="R2" s="2" t="s">
        <v>180</v>
      </c>
      <c r="S2" s="2" t="s">
        <v>185</v>
      </c>
      <c r="T2" s="2" t="s">
        <v>200</v>
      </c>
      <c r="U2">
        <v>13.32</v>
      </c>
      <c r="V2">
        <v>0</v>
      </c>
      <c r="W2">
        <v>0</v>
      </c>
      <c r="X2">
        <v>0</v>
      </c>
      <c r="Y2" t="s">
        <v>193</v>
      </c>
      <c r="Z2">
        <v>0</v>
      </c>
      <c r="AA2" t="s">
        <v>531</v>
      </c>
      <c r="AB2" t="s">
        <v>530</v>
      </c>
      <c r="AC2" s="2" t="s">
        <v>180</v>
      </c>
      <c r="AD2" s="2">
        <v>0</v>
      </c>
      <c r="AE2" s="2">
        <v>0</v>
      </c>
      <c r="AF2" s="2" t="s">
        <v>180</v>
      </c>
      <c r="AG2">
        <v>26</v>
      </c>
      <c r="AH2" t="s">
        <v>180</v>
      </c>
    </row>
    <row r="3" spans="1:34" x14ac:dyDescent="0.25">
      <c r="A3">
        <v>12.12</v>
      </c>
      <c r="B3" t="s">
        <v>534</v>
      </c>
      <c r="C3" t="s">
        <v>534</v>
      </c>
      <c r="D3" t="s">
        <v>183</v>
      </c>
      <c r="E3" t="s">
        <v>180</v>
      </c>
      <c r="F3">
        <v>1.22</v>
      </c>
      <c r="G3" t="s">
        <v>536</v>
      </c>
      <c r="H3" t="s">
        <v>536</v>
      </c>
      <c r="I3">
        <v>1.22</v>
      </c>
      <c r="J3" s="1">
        <v>45881</v>
      </c>
      <c r="K3" t="s">
        <v>535</v>
      </c>
      <c r="L3" t="s">
        <v>540</v>
      </c>
      <c r="M3" s="1">
        <v>45849</v>
      </c>
      <c r="N3" t="s">
        <v>537</v>
      </c>
      <c r="O3" s="2" t="s">
        <v>201</v>
      </c>
      <c r="P3" s="2" t="s">
        <v>534</v>
      </c>
      <c r="Q3" s="2" t="s">
        <v>180</v>
      </c>
      <c r="R3" s="2" t="s">
        <v>180</v>
      </c>
      <c r="S3" s="2" t="s">
        <v>185</v>
      </c>
      <c r="T3" s="2" t="s">
        <v>200</v>
      </c>
      <c r="U3">
        <v>13.34</v>
      </c>
      <c r="V3">
        <v>0</v>
      </c>
      <c r="W3">
        <v>0</v>
      </c>
      <c r="X3">
        <v>0</v>
      </c>
      <c r="Y3" t="s">
        <v>193</v>
      </c>
      <c r="Z3">
        <v>0</v>
      </c>
      <c r="AA3" t="s">
        <v>539</v>
      </c>
      <c r="AB3" t="s">
        <v>538</v>
      </c>
      <c r="AC3" s="2" t="s">
        <v>180</v>
      </c>
      <c r="AD3" s="2">
        <v>0</v>
      </c>
      <c r="AE3" s="2">
        <v>0</v>
      </c>
      <c r="AF3" s="2" t="s">
        <v>180</v>
      </c>
      <c r="AG3">
        <v>26</v>
      </c>
      <c r="AH3" t="s">
        <v>180</v>
      </c>
    </row>
    <row r="4" spans="1:34" x14ac:dyDescent="0.25">
      <c r="A4">
        <v>12.13</v>
      </c>
      <c r="B4" t="s">
        <v>542</v>
      </c>
      <c r="C4" t="s">
        <v>542</v>
      </c>
      <c r="D4" t="s">
        <v>183</v>
      </c>
      <c r="E4" t="s">
        <v>180</v>
      </c>
      <c r="F4">
        <v>1.23</v>
      </c>
      <c r="G4" t="s">
        <v>544</v>
      </c>
      <c r="H4" t="s">
        <v>544</v>
      </c>
      <c r="I4">
        <v>1.23</v>
      </c>
      <c r="J4" s="1">
        <v>45882</v>
      </c>
      <c r="K4" t="s">
        <v>543</v>
      </c>
      <c r="L4" t="s">
        <v>548</v>
      </c>
      <c r="M4" s="1">
        <v>45849</v>
      </c>
      <c r="N4" t="s">
        <v>545</v>
      </c>
      <c r="O4" s="2" t="s">
        <v>201</v>
      </c>
      <c r="P4" s="2" t="s">
        <v>542</v>
      </c>
      <c r="Q4" s="2" t="s">
        <v>180</v>
      </c>
      <c r="R4" s="2" t="s">
        <v>180</v>
      </c>
      <c r="S4" s="2" t="s">
        <v>185</v>
      </c>
      <c r="T4" s="2" t="s">
        <v>200</v>
      </c>
      <c r="U4">
        <v>13.36</v>
      </c>
      <c r="V4">
        <v>0</v>
      </c>
      <c r="W4">
        <v>0</v>
      </c>
      <c r="X4">
        <v>0</v>
      </c>
      <c r="Y4" t="s">
        <v>193</v>
      </c>
      <c r="Z4">
        <v>0</v>
      </c>
      <c r="AA4" t="s">
        <v>547</v>
      </c>
      <c r="AB4" t="s">
        <v>546</v>
      </c>
      <c r="AC4" s="2" t="s">
        <v>180</v>
      </c>
      <c r="AD4" s="2">
        <v>0</v>
      </c>
      <c r="AE4" s="2">
        <v>0</v>
      </c>
      <c r="AF4" s="2" t="s">
        <v>180</v>
      </c>
      <c r="AG4">
        <v>26</v>
      </c>
      <c r="AH4" t="s">
        <v>180</v>
      </c>
    </row>
    <row r="5" spans="1:34" x14ac:dyDescent="0.25">
      <c r="A5">
        <v>12.14</v>
      </c>
      <c r="B5" t="s">
        <v>550</v>
      </c>
      <c r="C5" t="s">
        <v>550</v>
      </c>
      <c r="D5" t="s">
        <v>183</v>
      </c>
      <c r="E5" t="s">
        <v>180</v>
      </c>
      <c r="F5">
        <v>1.24</v>
      </c>
      <c r="G5" t="s">
        <v>552</v>
      </c>
      <c r="H5" t="s">
        <v>552</v>
      </c>
      <c r="I5">
        <v>1.24</v>
      </c>
      <c r="J5" s="1">
        <v>45883</v>
      </c>
      <c r="K5" t="s">
        <v>551</v>
      </c>
      <c r="L5" t="s">
        <v>556</v>
      </c>
      <c r="M5" s="1">
        <v>45849</v>
      </c>
      <c r="N5" t="s">
        <v>553</v>
      </c>
      <c r="O5" s="2" t="s">
        <v>201</v>
      </c>
      <c r="P5" s="2" t="s">
        <v>550</v>
      </c>
      <c r="Q5" s="2" t="s">
        <v>180</v>
      </c>
      <c r="R5" s="2" t="s">
        <v>180</v>
      </c>
      <c r="S5" s="2" t="s">
        <v>185</v>
      </c>
      <c r="T5" s="2" t="s">
        <v>200</v>
      </c>
      <c r="U5">
        <v>13.38</v>
      </c>
      <c r="V5">
        <v>0</v>
      </c>
      <c r="W5">
        <v>0</v>
      </c>
      <c r="X5">
        <v>0</v>
      </c>
      <c r="Y5" t="s">
        <v>193</v>
      </c>
      <c r="Z5">
        <v>0</v>
      </c>
      <c r="AA5" t="s">
        <v>555</v>
      </c>
      <c r="AB5" t="s">
        <v>554</v>
      </c>
      <c r="AC5" s="2" t="s">
        <v>180</v>
      </c>
      <c r="AD5" s="2">
        <v>0</v>
      </c>
      <c r="AE5" s="2">
        <v>0</v>
      </c>
      <c r="AF5" s="2" t="s">
        <v>180</v>
      </c>
      <c r="AG5">
        <v>26</v>
      </c>
      <c r="AH5" t="s">
        <v>180</v>
      </c>
    </row>
    <row r="6" spans="1:34" x14ac:dyDescent="0.25">
      <c r="A6">
        <v>12.15</v>
      </c>
      <c r="B6" t="s">
        <v>558</v>
      </c>
      <c r="C6" t="s">
        <v>558</v>
      </c>
      <c r="D6" t="s">
        <v>183</v>
      </c>
      <c r="E6" t="s">
        <v>180</v>
      </c>
      <c r="F6">
        <v>1.25</v>
      </c>
      <c r="G6" t="s">
        <v>560</v>
      </c>
      <c r="H6" t="s">
        <v>560</v>
      </c>
      <c r="I6">
        <v>1.25</v>
      </c>
      <c r="J6" s="1">
        <v>45884</v>
      </c>
      <c r="K6" t="s">
        <v>559</v>
      </c>
      <c r="L6" t="s">
        <v>564</v>
      </c>
      <c r="M6" s="1">
        <v>45849</v>
      </c>
      <c r="N6" t="s">
        <v>561</v>
      </c>
      <c r="O6" s="2" t="s">
        <v>201</v>
      </c>
      <c r="P6" s="2" t="s">
        <v>558</v>
      </c>
      <c r="Q6" s="2" t="s">
        <v>180</v>
      </c>
      <c r="R6" s="2" t="s">
        <v>180</v>
      </c>
      <c r="S6" s="2" t="s">
        <v>185</v>
      </c>
      <c r="T6" s="2" t="s">
        <v>200</v>
      </c>
      <c r="U6">
        <v>13.4</v>
      </c>
      <c r="V6">
        <v>0</v>
      </c>
      <c r="W6">
        <v>0</v>
      </c>
      <c r="X6">
        <v>0</v>
      </c>
      <c r="Y6" t="s">
        <v>193</v>
      </c>
      <c r="Z6">
        <v>0</v>
      </c>
      <c r="AA6" t="s">
        <v>563</v>
      </c>
      <c r="AB6" t="s">
        <v>562</v>
      </c>
      <c r="AC6" s="2" t="s">
        <v>180</v>
      </c>
      <c r="AD6" s="2">
        <v>0</v>
      </c>
      <c r="AE6" s="2">
        <v>0</v>
      </c>
      <c r="AF6" s="2" t="s">
        <v>180</v>
      </c>
      <c r="AG6">
        <v>26</v>
      </c>
      <c r="AH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autoPageBreaks="0"/>
  </sheetPr>
  <dimension ref="A1:AB6"/>
  <sheetViews>
    <sheetView workbookViewId="0">
      <selection activeCell="O1" sqref="O1"/>
    </sheetView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8.8554687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6.710937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372</v>
      </c>
      <c r="B1" t="s">
        <v>519</v>
      </c>
      <c r="C1" t="s">
        <v>518</v>
      </c>
      <c r="D1" t="s">
        <v>155</v>
      </c>
      <c r="E1" t="s">
        <v>790</v>
      </c>
      <c r="F1" t="s">
        <v>521</v>
      </c>
      <c r="G1" t="s">
        <v>520</v>
      </c>
      <c r="H1" t="s">
        <v>257</v>
      </c>
      <c r="I1" t="s">
        <v>154</v>
      </c>
      <c r="J1" t="s">
        <v>254</v>
      </c>
      <c r="K1" t="s">
        <v>177</v>
      </c>
      <c r="L1" t="s">
        <v>522</v>
      </c>
      <c r="M1" t="s">
        <v>791</v>
      </c>
      <c r="N1" t="s">
        <v>523</v>
      </c>
      <c r="O1" t="s">
        <v>157</v>
      </c>
      <c r="P1" t="s">
        <v>176</v>
      </c>
      <c r="Q1" t="s">
        <v>251</v>
      </c>
      <c r="R1" t="s">
        <v>253</v>
      </c>
      <c r="S1" t="s">
        <v>165</v>
      </c>
      <c r="T1" t="s">
        <v>785</v>
      </c>
      <c r="U1" t="s">
        <v>256</v>
      </c>
      <c r="V1" t="s">
        <v>255</v>
      </c>
      <c r="W1" t="s">
        <v>786</v>
      </c>
      <c r="X1" t="s">
        <v>787</v>
      </c>
      <c r="Y1" t="s">
        <v>788</v>
      </c>
      <c r="Z1" t="s">
        <v>789</v>
      </c>
      <c r="AA1" t="s">
        <v>169</v>
      </c>
      <c r="AB1" t="s">
        <v>483</v>
      </c>
    </row>
    <row r="2" spans="1:28" x14ac:dyDescent="0.25">
      <c r="A2">
        <v>14.11</v>
      </c>
      <c r="B2" t="s">
        <v>596</v>
      </c>
      <c r="C2" t="s">
        <v>603</v>
      </c>
      <c r="D2" t="s">
        <v>183</v>
      </c>
      <c r="E2" t="s">
        <v>180</v>
      </c>
      <c r="F2" s="1">
        <v>45890</v>
      </c>
      <c r="G2" t="s">
        <v>604</v>
      </c>
      <c r="H2" t="s">
        <v>608</v>
      </c>
      <c r="I2" s="1">
        <v>45849</v>
      </c>
      <c r="J2" t="s">
        <v>605</v>
      </c>
      <c r="K2" s="2" t="s">
        <v>201</v>
      </c>
      <c r="L2" s="2" t="s">
        <v>596</v>
      </c>
      <c r="M2" s="2" t="s">
        <v>180</v>
      </c>
      <c r="N2" s="2" t="s">
        <v>180</v>
      </c>
      <c r="O2" s="2" t="s">
        <v>185</v>
      </c>
      <c r="P2" s="2" t="s">
        <v>200</v>
      </c>
      <c r="Q2">
        <v>0</v>
      </c>
      <c r="R2">
        <v>0</v>
      </c>
      <c r="S2" t="s">
        <v>193</v>
      </c>
      <c r="T2">
        <v>0</v>
      </c>
      <c r="U2" t="s">
        <v>607</v>
      </c>
      <c r="V2" t="s">
        <v>606</v>
      </c>
      <c r="W2" s="2" t="s">
        <v>180</v>
      </c>
      <c r="X2" s="2">
        <v>0</v>
      </c>
      <c r="Y2" s="2">
        <v>0</v>
      </c>
      <c r="Z2" s="2" t="s">
        <v>180</v>
      </c>
      <c r="AA2">
        <v>26</v>
      </c>
      <c r="AB2" t="s">
        <v>180</v>
      </c>
    </row>
    <row r="3" spans="1:28" x14ac:dyDescent="0.25">
      <c r="A3">
        <v>14.12</v>
      </c>
      <c r="B3" t="s">
        <v>611</v>
      </c>
      <c r="C3" t="s">
        <v>610</v>
      </c>
      <c r="D3" t="s">
        <v>183</v>
      </c>
      <c r="E3" t="s">
        <v>180</v>
      </c>
      <c r="F3" s="1">
        <v>45891</v>
      </c>
      <c r="G3" t="s">
        <v>612</v>
      </c>
      <c r="H3" t="s">
        <v>616</v>
      </c>
      <c r="I3" s="1">
        <v>45849</v>
      </c>
      <c r="J3" t="s">
        <v>613</v>
      </c>
      <c r="K3" s="2" t="s">
        <v>201</v>
      </c>
      <c r="L3" s="2" t="s">
        <v>611</v>
      </c>
      <c r="M3" s="2" t="s">
        <v>180</v>
      </c>
      <c r="N3" s="2" t="s">
        <v>180</v>
      </c>
      <c r="O3" s="2" t="s">
        <v>185</v>
      </c>
      <c r="P3" s="2" t="s">
        <v>200</v>
      </c>
      <c r="Q3">
        <v>0</v>
      </c>
      <c r="R3">
        <v>0</v>
      </c>
      <c r="S3" t="s">
        <v>193</v>
      </c>
      <c r="T3">
        <v>0</v>
      </c>
      <c r="U3" t="s">
        <v>615</v>
      </c>
      <c r="V3" t="s">
        <v>614</v>
      </c>
      <c r="W3" s="2" t="s">
        <v>180</v>
      </c>
      <c r="X3" s="2">
        <v>0</v>
      </c>
      <c r="Y3" s="2">
        <v>0</v>
      </c>
      <c r="Z3" s="2" t="s">
        <v>180</v>
      </c>
      <c r="AA3">
        <v>26</v>
      </c>
      <c r="AB3" t="s">
        <v>180</v>
      </c>
    </row>
    <row r="4" spans="1:28" x14ac:dyDescent="0.25">
      <c r="A4">
        <v>14.13</v>
      </c>
      <c r="B4" t="s">
        <v>619</v>
      </c>
      <c r="C4" t="s">
        <v>618</v>
      </c>
      <c r="D4" t="s">
        <v>183</v>
      </c>
      <c r="E4" t="s">
        <v>180</v>
      </c>
      <c r="F4" s="1">
        <v>45892</v>
      </c>
      <c r="G4" t="s">
        <v>620</v>
      </c>
      <c r="H4" t="s">
        <v>624</v>
      </c>
      <c r="I4" s="1">
        <v>45849</v>
      </c>
      <c r="J4" t="s">
        <v>621</v>
      </c>
      <c r="K4" s="2" t="s">
        <v>201</v>
      </c>
      <c r="L4" s="2" t="s">
        <v>619</v>
      </c>
      <c r="M4" s="2" t="s">
        <v>180</v>
      </c>
      <c r="N4" s="2" t="s">
        <v>180</v>
      </c>
      <c r="O4" s="2" t="s">
        <v>185</v>
      </c>
      <c r="P4" s="2" t="s">
        <v>200</v>
      </c>
      <c r="Q4">
        <v>0</v>
      </c>
      <c r="R4">
        <v>0</v>
      </c>
      <c r="S4" t="s">
        <v>193</v>
      </c>
      <c r="T4">
        <v>0</v>
      </c>
      <c r="U4" t="s">
        <v>623</v>
      </c>
      <c r="V4" t="s">
        <v>622</v>
      </c>
      <c r="W4" s="2" t="s">
        <v>180</v>
      </c>
      <c r="X4" s="2">
        <v>0</v>
      </c>
      <c r="Y4" s="2">
        <v>0</v>
      </c>
      <c r="Z4" s="2" t="s">
        <v>180</v>
      </c>
      <c r="AA4">
        <v>26</v>
      </c>
      <c r="AB4" t="s">
        <v>180</v>
      </c>
    </row>
    <row r="5" spans="1:28" x14ac:dyDescent="0.25">
      <c r="A5">
        <v>14.14</v>
      </c>
      <c r="B5" t="s">
        <v>627</v>
      </c>
      <c r="C5" t="s">
        <v>626</v>
      </c>
      <c r="D5" t="s">
        <v>183</v>
      </c>
      <c r="E5" t="s">
        <v>180</v>
      </c>
      <c r="F5" s="1">
        <v>45893</v>
      </c>
      <c r="G5" t="s">
        <v>628</v>
      </c>
      <c r="H5" t="s">
        <v>632</v>
      </c>
      <c r="I5" s="1">
        <v>45849</v>
      </c>
      <c r="J5" t="s">
        <v>629</v>
      </c>
      <c r="K5" s="2" t="s">
        <v>201</v>
      </c>
      <c r="L5" s="2" t="s">
        <v>627</v>
      </c>
      <c r="M5" s="2" t="s">
        <v>180</v>
      </c>
      <c r="N5" s="2" t="s">
        <v>180</v>
      </c>
      <c r="O5" s="2" t="s">
        <v>185</v>
      </c>
      <c r="P5" s="2" t="s">
        <v>200</v>
      </c>
      <c r="Q5">
        <v>0</v>
      </c>
      <c r="R5">
        <v>0</v>
      </c>
      <c r="S5" t="s">
        <v>193</v>
      </c>
      <c r="T5">
        <v>0</v>
      </c>
      <c r="U5" t="s">
        <v>631</v>
      </c>
      <c r="V5" t="s">
        <v>630</v>
      </c>
      <c r="W5" s="2" t="s">
        <v>180</v>
      </c>
      <c r="X5" s="2">
        <v>0</v>
      </c>
      <c r="Y5" s="2">
        <v>0</v>
      </c>
      <c r="Z5" s="2" t="s">
        <v>180</v>
      </c>
      <c r="AA5">
        <v>26</v>
      </c>
      <c r="AB5" t="s">
        <v>180</v>
      </c>
    </row>
    <row r="6" spans="1:28" x14ac:dyDescent="0.25">
      <c r="A6">
        <v>14.15</v>
      </c>
      <c r="B6" t="s">
        <v>635</v>
      </c>
      <c r="C6" t="s">
        <v>634</v>
      </c>
      <c r="D6" t="s">
        <v>183</v>
      </c>
      <c r="E6" t="s">
        <v>180</v>
      </c>
      <c r="F6" s="1">
        <v>45894</v>
      </c>
      <c r="G6" t="s">
        <v>636</v>
      </c>
      <c r="H6" t="s">
        <v>640</v>
      </c>
      <c r="I6" s="1">
        <v>45849</v>
      </c>
      <c r="J6" t="s">
        <v>637</v>
      </c>
      <c r="K6" s="2" t="s">
        <v>201</v>
      </c>
      <c r="L6" s="2" t="s">
        <v>635</v>
      </c>
      <c r="M6" s="2" t="s">
        <v>180</v>
      </c>
      <c r="N6" s="2" t="s">
        <v>180</v>
      </c>
      <c r="O6" s="2" t="s">
        <v>185</v>
      </c>
      <c r="P6" s="2" t="s">
        <v>200</v>
      </c>
      <c r="Q6">
        <v>0</v>
      </c>
      <c r="R6">
        <v>0</v>
      </c>
      <c r="S6" t="s">
        <v>193</v>
      </c>
      <c r="T6">
        <v>0</v>
      </c>
      <c r="U6" t="s">
        <v>639</v>
      </c>
      <c r="V6" t="s">
        <v>638</v>
      </c>
      <c r="W6" s="2" t="s">
        <v>180</v>
      </c>
      <c r="X6" s="2">
        <v>0</v>
      </c>
      <c r="Y6" s="2">
        <v>0</v>
      </c>
      <c r="Z6" s="2" t="s">
        <v>180</v>
      </c>
      <c r="AA6">
        <v>26</v>
      </c>
      <c r="AB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autoPageBreaks="0"/>
  </sheetPr>
  <dimension ref="A1:AA6"/>
  <sheetViews>
    <sheetView workbookViewId="0">
      <selection activeCell="L1" sqref="L1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8.8554687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6.7109375" bestFit="1" customWidth="1"/>
    <col min="17" max="17" width="18.7109375" bestFit="1" customWidth="1"/>
    <col min="18" max="18" width="12.1406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372</v>
      </c>
      <c r="B1" t="s">
        <v>155</v>
      </c>
      <c r="C1" t="s">
        <v>521</v>
      </c>
      <c r="D1" t="s">
        <v>520</v>
      </c>
      <c r="E1" t="s">
        <v>257</v>
      </c>
      <c r="F1" t="s">
        <v>154</v>
      </c>
      <c r="G1" t="s">
        <v>254</v>
      </c>
      <c r="H1" t="s">
        <v>177</v>
      </c>
      <c r="I1" t="s">
        <v>522</v>
      </c>
      <c r="J1" t="s">
        <v>791</v>
      </c>
      <c r="K1" t="s">
        <v>523</v>
      </c>
      <c r="L1" t="s">
        <v>157</v>
      </c>
      <c r="M1" t="s">
        <v>176</v>
      </c>
      <c r="N1" t="s">
        <v>251</v>
      </c>
      <c r="O1" t="s">
        <v>253</v>
      </c>
      <c r="P1" t="s">
        <v>165</v>
      </c>
      <c r="Q1" t="s">
        <v>785</v>
      </c>
      <c r="R1" t="s">
        <v>566</v>
      </c>
      <c r="S1" t="s">
        <v>793</v>
      </c>
      <c r="T1" t="s">
        <v>256</v>
      </c>
      <c r="U1" t="s">
        <v>255</v>
      </c>
      <c r="V1" t="s">
        <v>786</v>
      </c>
      <c r="W1" t="s">
        <v>787</v>
      </c>
      <c r="X1" t="s">
        <v>788</v>
      </c>
      <c r="Y1" t="s">
        <v>789</v>
      </c>
      <c r="Z1" t="s">
        <v>169</v>
      </c>
      <c r="AA1" t="s">
        <v>483</v>
      </c>
    </row>
    <row r="2" spans="1:27" x14ac:dyDescent="0.25">
      <c r="A2">
        <v>13.11</v>
      </c>
      <c r="B2" t="s">
        <v>183</v>
      </c>
      <c r="C2" s="1">
        <v>45885</v>
      </c>
      <c r="D2" t="s">
        <v>569</v>
      </c>
      <c r="E2" t="s">
        <v>573</v>
      </c>
      <c r="F2" s="1">
        <v>45849</v>
      </c>
      <c r="G2" t="s">
        <v>570</v>
      </c>
      <c r="H2" s="2" t="s">
        <v>201</v>
      </c>
      <c r="I2" s="2" t="s">
        <v>567</v>
      </c>
      <c r="J2" s="2" t="s">
        <v>180</v>
      </c>
      <c r="K2" s="2" t="s">
        <v>180</v>
      </c>
      <c r="L2" s="2" t="s">
        <v>185</v>
      </c>
      <c r="M2" s="2" t="s">
        <v>200</v>
      </c>
      <c r="N2">
        <v>0</v>
      </c>
      <c r="O2">
        <v>0</v>
      </c>
      <c r="P2" t="s">
        <v>193</v>
      </c>
      <c r="Q2">
        <v>0</v>
      </c>
      <c r="R2" t="s">
        <v>568</v>
      </c>
      <c r="S2" t="s">
        <v>180</v>
      </c>
      <c r="T2" t="s">
        <v>572</v>
      </c>
      <c r="U2" t="s">
        <v>571</v>
      </c>
      <c r="V2" s="2" t="s">
        <v>180</v>
      </c>
      <c r="W2" s="2">
        <v>0</v>
      </c>
      <c r="X2" s="2">
        <v>0</v>
      </c>
      <c r="Y2" s="2" t="s">
        <v>180</v>
      </c>
      <c r="Z2">
        <v>26</v>
      </c>
      <c r="AA2" t="s">
        <v>180</v>
      </c>
    </row>
    <row r="3" spans="1:27" x14ac:dyDescent="0.25">
      <c r="A3">
        <v>13.12</v>
      </c>
      <c r="B3" t="s">
        <v>183</v>
      </c>
      <c r="C3" s="1">
        <v>45886</v>
      </c>
      <c r="D3" t="s">
        <v>576</v>
      </c>
      <c r="E3" t="s">
        <v>580</v>
      </c>
      <c r="F3" s="1">
        <v>45849</v>
      </c>
      <c r="G3" t="s">
        <v>577</v>
      </c>
      <c r="H3" s="2" t="s">
        <v>201</v>
      </c>
      <c r="I3" s="2" t="s">
        <v>575</v>
      </c>
      <c r="J3" s="2" t="s">
        <v>180</v>
      </c>
      <c r="K3" s="2" t="s">
        <v>180</v>
      </c>
      <c r="L3" s="2" t="s">
        <v>185</v>
      </c>
      <c r="M3" s="2" t="s">
        <v>200</v>
      </c>
      <c r="N3">
        <v>0</v>
      </c>
      <c r="O3">
        <v>0</v>
      </c>
      <c r="P3" t="s">
        <v>193</v>
      </c>
      <c r="Q3">
        <v>0</v>
      </c>
      <c r="R3" t="s">
        <v>568</v>
      </c>
      <c r="S3" t="s">
        <v>180</v>
      </c>
      <c r="T3" t="s">
        <v>579</v>
      </c>
      <c r="U3" t="s">
        <v>578</v>
      </c>
      <c r="V3" s="2" t="s">
        <v>180</v>
      </c>
      <c r="W3" s="2">
        <v>0</v>
      </c>
      <c r="X3" s="2">
        <v>0</v>
      </c>
      <c r="Y3" s="2" t="s">
        <v>180</v>
      </c>
      <c r="Z3">
        <v>26</v>
      </c>
      <c r="AA3" t="s">
        <v>180</v>
      </c>
    </row>
    <row r="4" spans="1:27" x14ac:dyDescent="0.25">
      <c r="A4">
        <v>13.13</v>
      </c>
      <c r="B4" t="s">
        <v>183</v>
      </c>
      <c r="C4" s="1">
        <v>45887</v>
      </c>
      <c r="D4" t="s">
        <v>583</v>
      </c>
      <c r="E4" t="s">
        <v>587</v>
      </c>
      <c r="F4" s="1">
        <v>45849</v>
      </c>
      <c r="G4" t="s">
        <v>584</v>
      </c>
      <c r="H4" s="2" t="s">
        <v>201</v>
      </c>
      <c r="I4" s="2" t="s">
        <v>582</v>
      </c>
      <c r="J4" s="2" t="s">
        <v>180</v>
      </c>
      <c r="K4" s="2" t="s">
        <v>180</v>
      </c>
      <c r="L4" s="2" t="s">
        <v>185</v>
      </c>
      <c r="M4" s="2" t="s">
        <v>200</v>
      </c>
      <c r="N4">
        <v>0</v>
      </c>
      <c r="O4">
        <v>0</v>
      </c>
      <c r="P4" t="s">
        <v>193</v>
      </c>
      <c r="Q4">
        <v>0</v>
      </c>
      <c r="R4" t="s">
        <v>568</v>
      </c>
      <c r="S4" t="s">
        <v>180</v>
      </c>
      <c r="T4" t="s">
        <v>586</v>
      </c>
      <c r="U4" t="s">
        <v>585</v>
      </c>
      <c r="V4" s="2" t="s">
        <v>180</v>
      </c>
      <c r="W4" s="2">
        <v>0</v>
      </c>
      <c r="X4" s="2">
        <v>0</v>
      </c>
      <c r="Y4" s="2" t="s">
        <v>180</v>
      </c>
      <c r="Z4">
        <v>26</v>
      </c>
      <c r="AA4" t="s">
        <v>180</v>
      </c>
    </row>
    <row r="5" spans="1:27" x14ac:dyDescent="0.25">
      <c r="A5">
        <v>13.14</v>
      </c>
      <c r="B5" t="s">
        <v>183</v>
      </c>
      <c r="C5" s="1">
        <v>45888</v>
      </c>
      <c r="D5" t="s">
        <v>590</v>
      </c>
      <c r="E5" t="s">
        <v>594</v>
      </c>
      <c r="F5" s="1">
        <v>45849</v>
      </c>
      <c r="G5" t="s">
        <v>591</v>
      </c>
      <c r="H5" s="2" t="s">
        <v>201</v>
      </c>
      <c r="I5" s="2" t="s">
        <v>589</v>
      </c>
      <c r="J5" s="2" t="s">
        <v>180</v>
      </c>
      <c r="K5" s="2" t="s">
        <v>180</v>
      </c>
      <c r="L5" s="2" t="s">
        <v>185</v>
      </c>
      <c r="M5" s="2" t="s">
        <v>200</v>
      </c>
      <c r="N5">
        <v>0</v>
      </c>
      <c r="O5">
        <v>0</v>
      </c>
      <c r="P5" t="s">
        <v>193</v>
      </c>
      <c r="Q5">
        <v>0</v>
      </c>
      <c r="R5" t="s">
        <v>568</v>
      </c>
      <c r="S5" t="s">
        <v>180</v>
      </c>
      <c r="T5" t="s">
        <v>593</v>
      </c>
      <c r="U5" t="s">
        <v>592</v>
      </c>
      <c r="V5" s="2" t="s">
        <v>180</v>
      </c>
      <c r="W5" s="2">
        <v>0</v>
      </c>
      <c r="X5" s="2">
        <v>0</v>
      </c>
      <c r="Y5" s="2" t="s">
        <v>180</v>
      </c>
      <c r="Z5">
        <v>26</v>
      </c>
      <c r="AA5" t="s">
        <v>180</v>
      </c>
    </row>
    <row r="6" spans="1:27" x14ac:dyDescent="0.25">
      <c r="A6">
        <v>13.15</v>
      </c>
      <c r="B6" t="s">
        <v>183</v>
      </c>
      <c r="C6" s="1">
        <v>45889</v>
      </c>
      <c r="D6" t="s">
        <v>597</v>
      </c>
      <c r="E6" t="s">
        <v>601</v>
      </c>
      <c r="F6" s="1">
        <v>45849</v>
      </c>
      <c r="G6" t="s">
        <v>598</v>
      </c>
      <c r="H6" s="2" t="s">
        <v>201</v>
      </c>
      <c r="I6" s="2" t="s">
        <v>596</v>
      </c>
      <c r="J6" s="2" t="s">
        <v>180</v>
      </c>
      <c r="K6" s="2" t="s">
        <v>180</v>
      </c>
      <c r="L6" s="2" t="s">
        <v>185</v>
      </c>
      <c r="M6" s="2" t="s">
        <v>200</v>
      </c>
      <c r="N6">
        <v>0</v>
      </c>
      <c r="O6">
        <v>0</v>
      </c>
      <c r="P6" t="s">
        <v>193</v>
      </c>
      <c r="Q6">
        <v>0</v>
      </c>
      <c r="R6" t="s">
        <v>568</v>
      </c>
      <c r="S6" t="s">
        <v>180</v>
      </c>
      <c r="T6" t="s">
        <v>600</v>
      </c>
      <c r="U6" t="s">
        <v>599</v>
      </c>
      <c r="V6" s="2" t="s">
        <v>180</v>
      </c>
      <c r="W6" s="2">
        <v>0</v>
      </c>
      <c r="X6" s="2">
        <v>0</v>
      </c>
      <c r="Y6" s="2" t="s">
        <v>180</v>
      </c>
      <c r="Z6">
        <v>26</v>
      </c>
      <c r="AA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autoPageBreaks="0"/>
  </sheetPr>
  <dimension ref="A1:Z6"/>
  <sheetViews>
    <sheetView topLeftCell="J1" workbookViewId="0">
      <selection activeCell="Q1" sqref="Q1"/>
    </sheetView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367</v>
      </c>
      <c r="B1" t="s">
        <v>366</v>
      </c>
      <c r="C1" t="s">
        <v>372</v>
      </c>
      <c r="D1" t="s">
        <v>368</v>
      </c>
      <c r="E1" t="s">
        <v>369</v>
      </c>
      <c r="F1" t="s">
        <v>155</v>
      </c>
      <c r="G1" t="s">
        <v>371</v>
      </c>
      <c r="H1" t="s">
        <v>373</v>
      </c>
      <c r="I1" t="s">
        <v>374</v>
      </c>
      <c r="J1" t="s">
        <v>794</v>
      </c>
      <c r="K1" t="s">
        <v>257</v>
      </c>
      <c r="L1" t="s">
        <v>154</v>
      </c>
      <c r="M1" t="s">
        <v>375</v>
      </c>
      <c r="N1" t="s">
        <v>376</v>
      </c>
      <c r="O1" t="s">
        <v>254</v>
      </c>
      <c r="P1" t="s">
        <v>177</v>
      </c>
      <c r="Q1" t="s">
        <v>157</v>
      </c>
      <c r="R1" t="s">
        <v>176</v>
      </c>
      <c r="S1" t="s">
        <v>165</v>
      </c>
      <c r="T1" t="s">
        <v>370</v>
      </c>
      <c r="U1" t="s">
        <v>256</v>
      </c>
      <c r="V1" t="s">
        <v>255</v>
      </c>
      <c r="W1" t="s">
        <v>795</v>
      </c>
      <c r="X1" t="s">
        <v>796</v>
      </c>
      <c r="Y1" t="s">
        <v>169</v>
      </c>
      <c r="Z1" t="s">
        <v>483</v>
      </c>
    </row>
    <row r="2" spans="1:26" x14ac:dyDescent="0.25">
      <c r="A2" t="s">
        <v>377</v>
      </c>
      <c r="B2" t="s">
        <v>377</v>
      </c>
      <c r="C2">
        <v>18.54</v>
      </c>
      <c r="D2" t="s">
        <v>378</v>
      </c>
      <c r="E2" s="2">
        <v>1144.25</v>
      </c>
      <c r="F2" t="s">
        <v>183</v>
      </c>
      <c r="G2" t="s">
        <v>191</v>
      </c>
      <c r="H2" s="2">
        <v>18.54</v>
      </c>
      <c r="I2" s="2">
        <v>18.54</v>
      </c>
      <c r="J2" t="s">
        <v>373</v>
      </c>
      <c r="K2" t="s">
        <v>382</v>
      </c>
      <c r="L2" s="1">
        <v>45849</v>
      </c>
      <c r="M2">
        <v>0</v>
      </c>
      <c r="N2">
        <v>0</v>
      </c>
      <c r="O2" t="s">
        <v>379</v>
      </c>
      <c r="P2" s="2" t="s">
        <v>201</v>
      </c>
      <c r="Q2" s="2" t="s">
        <v>185</v>
      </c>
      <c r="R2" s="2" t="s">
        <v>200</v>
      </c>
      <c r="S2" t="s">
        <v>193</v>
      </c>
      <c r="T2">
        <v>1.62</v>
      </c>
      <c r="U2" t="s">
        <v>381</v>
      </c>
      <c r="V2" t="s">
        <v>380</v>
      </c>
      <c r="W2">
        <v>0</v>
      </c>
      <c r="X2">
        <v>0</v>
      </c>
      <c r="Y2">
        <v>26</v>
      </c>
      <c r="Z2" t="s">
        <v>180</v>
      </c>
    </row>
    <row r="3" spans="1:26" x14ac:dyDescent="0.25">
      <c r="A3" t="s">
        <v>384</v>
      </c>
      <c r="B3" t="s">
        <v>384</v>
      </c>
      <c r="C3">
        <v>19.64</v>
      </c>
      <c r="D3" t="s">
        <v>385</v>
      </c>
      <c r="E3">
        <v>1205.06</v>
      </c>
      <c r="F3" t="s">
        <v>183</v>
      </c>
      <c r="G3" t="s">
        <v>191</v>
      </c>
      <c r="H3">
        <v>19.64</v>
      </c>
      <c r="I3">
        <v>19.64</v>
      </c>
      <c r="J3" t="s">
        <v>373</v>
      </c>
      <c r="K3" t="s">
        <v>389</v>
      </c>
      <c r="L3" s="1">
        <v>45849</v>
      </c>
      <c r="M3">
        <v>0</v>
      </c>
      <c r="N3">
        <v>0</v>
      </c>
      <c r="O3" t="s">
        <v>386</v>
      </c>
      <c r="P3" s="2" t="s">
        <v>201</v>
      </c>
      <c r="Q3" s="2" t="s">
        <v>185</v>
      </c>
      <c r="R3" s="2" t="s">
        <v>200</v>
      </c>
      <c r="S3" t="s">
        <v>193</v>
      </c>
      <c r="T3">
        <v>1.63</v>
      </c>
      <c r="U3" t="s">
        <v>388</v>
      </c>
      <c r="V3" t="s">
        <v>387</v>
      </c>
      <c r="W3">
        <v>0</v>
      </c>
      <c r="X3">
        <v>0</v>
      </c>
      <c r="Y3">
        <v>26</v>
      </c>
      <c r="Z3" t="s">
        <v>180</v>
      </c>
    </row>
    <row r="4" spans="1:26" x14ac:dyDescent="0.25">
      <c r="A4" t="s">
        <v>391</v>
      </c>
      <c r="B4" t="s">
        <v>391</v>
      </c>
      <c r="C4">
        <v>18.77</v>
      </c>
      <c r="D4" t="s">
        <v>378</v>
      </c>
      <c r="E4" s="2">
        <v>1144.25</v>
      </c>
      <c r="F4" t="s">
        <v>183</v>
      </c>
      <c r="G4" t="s">
        <v>191</v>
      </c>
      <c r="H4">
        <v>0</v>
      </c>
      <c r="I4">
        <v>0</v>
      </c>
      <c r="J4" t="s">
        <v>375</v>
      </c>
      <c r="K4" t="s">
        <v>395</v>
      </c>
      <c r="L4" s="1">
        <v>45849</v>
      </c>
      <c r="M4" s="2">
        <v>18.77</v>
      </c>
      <c r="N4" s="2">
        <v>18.77</v>
      </c>
      <c r="O4" t="s">
        <v>392</v>
      </c>
      <c r="P4" s="2" t="s">
        <v>201</v>
      </c>
      <c r="Q4" s="2" t="s">
        <v>185</v>
      </c>
      <c r="R4" s="2" t="s">
        <v>200</v>
      </c>
      <c r="S4" t="s">
        <v>193</v>
      </c>
      <c r="T4">
        <v>1.64</v>
      </c>
      <c r="U4" t="s">
        <v>394</v>
      </c>
      <c r="V4" t="s">
        <v>393</v>
      </c>
      <c r="W4">
        <v>0</v>
      </c>
      <c r="X4">
        <v>0</v>
      </c>
      <c r="Y4">
        <v>26</v>
      </c>
      <c r="Z4" t="s">
        <v>180</v>
      </c>
    </row>
    <row r="5" spans="1:26" x14ac:dyDescent="0.25">
      <c r="A5" t="s">
        <v>397</v>
      </c>
      <c r="B5" t="s">
        <v>397</v>
      </c>
      <c r="C5">
        <v>22.26</v>
      </c>
      <c r="D5" t="s">
        <v>398</v>
      </c>
      <c r="E5" s="2">
        <v>1349.18</v>
      </c>
      <c r="F5" t="s">
        <v>183</v>
      </c>
      <c r="G5" t="s">
        <v>191</v>
      </c>
      <c r="H5">
        <v>0</v>
      </c>
      <c r="I5">
        <v>0</v>
      </c>
      <c r="J5" t="s">
        <v>375</v>
      </c>
      <c r="K5" t="s">
        <v>402</v>
      </c>
      <c r="L5" s="1">
        <v>45849</v>
      </c>
      <c r="M5" s="2">
        <v>22.26</v>
      </c>
      <c r="N5" s="2">
        <v>22.26</v>
      </c>
      <c r="O5" t="s">
        <v>399</v>
      </c>
      <c r="P5" s="2" t="s">
        <v>201</v>
      </c>
      <c r="Q5" s="2" t="s">
        <v>185</v>
      </c>
      <c r="R5" s="2" t="s">
        <v>200</v>
      </c>
      <c r="S5" t="s">
        <v>193</v>
      </c>
      <c r="T5">
        <v>1.65</v>
      </c>
      <c r="U5" t="s">
        <v>401</v>
      </c>
      <c r="V5" t="s">
        <v>400</v>
      </c>
      <c r="W5">
        <v>0</v>
      </c>
      <c r="X5">
        <v>0</v>
      </c>
      <c r="Y5">
        <v>26</v>
      </c>
      <c r="Z5" t="s">
        <v>180</v>
      </c>
    </row>
    <row r="6" spans="1:26" x14ac:dyDescent="0.25">
      <c r="A6" t="s">
        <v>404</v>
      </c>
      <c r="B6" t="s">
        <v>404</v>
      </c>
      <c r="C6">
        <v>22.35</v>
      </c>
      <c r="D6" t="s">
        <v>405</v>
      </c>
      <c r="E6" s="2">
        <v>1346.33</v>
      </c>
      <c r="F6" t="s">
        <v>183</v>
      </c>
      <c r="G6" t="s">
        <v>191</v>
      </c>
      <c r="H6">
        <v>0</v>
      </c>
      <c r="I6">
        <v>0</v>
      </c>
      <c r="J6" t="s">
        <v>375</v>
      </c>
      <c r="K6" t="s">
        <v>409</v>
      </c>
      <c r="L6" s="1">
        <v>45849</v>
      </c>
      <c r="M6" s="2">
        <v>22.35</v>
      </c>
      <c r="N6" s="2">
        <v>22.35</v>
      </c>
      <c r="O6" t="s">
        <v>406</v>
      </c>
      <c r="P6" s="2" t="s">
        <v>201</v>
      </c>
      <c r="Q6" s="2" t="s">
        <v>185</v>
      </c>
      <c r="R6" s="2" t="s">
        <v>200</v>
      </c>
      <c r="S6" t="s">
        <v>193</v>
      </c>
      <c r="T6">
        <v>1.66</v>
      </c>
      <c r="U6" t="s">
        <v>408</v>
      </c>
      <c r="V6" t="s">
        <v>407</v>
      </c>
      <c r="W6">
        <v>0</v>
      </c>
      <c r="X6">
        <v>0</v>
      </c>
      <c r="Y6">
        <v>26</v>
      </c>
      <c r="Z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autoPageBreaks="0"/>
  </sheetPr>
  <dimension ref="A1:CC7"/>
  <sheetViews>
    <sheetView topLeftCell="R1" workbookViewId="0">
      <selection activeCell="Y1" sqref="Y1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1" width="23.42578125" bestFit="1" customWidth="1"/>
    <col min="52" max="52" width="12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20.85546875" bestFit="1" customWidth="1"/>
    <col min="58" max="58" width="10.7109375" bestFit="1" customWidth="1"/>
    <col min="59" max="59" width="10.5703125" bestFit="1" customWidth="1"/>
    <col min="60" max="60" width="11.7109375" bestFit="1" customWidth="1"/>
    <col min="61" max="61" width="16.42578125" bestFit="1" customWidth="1"/>
    <col min="62" max="62" width="6" bestFit="1" customWidth="1"/>
    <col min="63" max="63" width="9.28515625" bestFit="1" customWidth="1"/>
    <col min="64" max="64" width="4.42578125" bestFit="1" customWidth="1"/>
    <col min="65" max="65" width="10.140625" bestFit="1" customWidth="1"/>
    <col min="66" max="66" width="18.140625" bestFit="1" customWidth="1"/>
    <col min="67" max="67" width="32.5703125" bestFit="1" customWidth="1"/>
    <col min="68" max="68" width="14.5703125" bestFit="1" customWidth="1"/>
    <col min="69" max="69" width="16.28515625" bestFit="1" customWidth="1"/>
    <col min="70" max="70" width="13.28515625" bestFit="1" customWidth="1"/>
    <col min="71" max="71" width="15.5703125" bestFit="1" customWidth="1"/>
    <col min="72" max="72" width="8.7109375" bestFit="1" customWidth="1"/>
    <col min="73" max="73" width="5.42578125" bestFit="1" customWidth="1"/>
    <col min="74" max="74" width="15" bestFit="1" customWidth="1"/>
    <col min="75" max="75" width="24.7109375" bestFit="1" customWidth="1"/>
    <col min="76" max="76" width="23" bestFit="1" customWidth="1"/>
    <col min="77" max="77" width="24.140625" bestFit="1" customWidth="1"/>
    <col min="78" max="78" width="22.85546875" bestFit="1" customWidth="1"/>
    <col min="79" max="79" width="16.28515625" bestFit="1" customWidth="1"/>
    <col min="80" max="80" width="26.7109375" bestFit="1" customWidth="1"/>
    <col min="81" max="81" width="18.28515625" bestFit="1" customWidth="1"/>
  </cols>
  <sheetData>
    <row r="1" spans="1:81" x14ac:dyDescent="0.25">
      <c r="A1" t="s">
        <v>797</v>
      </c>
      <c r="B1" t="s">
        <v>155</v>
      </c>
      <c r="C1" t="s">
        <v>7</v>
      </c>
      <c r="D1" t="s">
        <v>798</v>
      </c>
      <c r="E1" t="s">
        <v>248</v>
      </c>
      <c r="F1" t="s">
        <v>4</v>
      </c>
      <c r="G1" t="s">
        <v>245</v>
      </c>
      <c r="H1" t="s">
        <v>211</v>
      </c>
      <c r="I1" t="s">
        <v>257</v>
      </c>
      <c r="J1" t="s">
        <v>154</v>
      </c>
      <c r="K1" t="s">
        <v>799</v>
      </c>
      <c r="L1" t="s">
        <v>254</v>
      </c>
      <c r="M1" t="s">
        <v>224</v>
      </c>
      <c r="N1" t="s">
        <v>227</v>
      </c>
      <c r="O1" t="s">
        <v>230</v>
      </c>
      <c r="P1" t="s">
        <v>223</v>
      </c>
      <c r="Q1" t="s">
        <v>226</v>
      </c>
      <c r="R1" t="s">
        <v>229</v>
      </c>
      <c r="S1" t="s">
        <v>177</v>
      </c>
      <c r="T1" t="s">
        <v>729</v>
      </c>
      <c r="U1" t="s">
        <v>800</v>
      </c>
      <c r="V1" t="s">
        <v>801</v>
      </c>
      <c r="W1" t="s">
        <v>802</v>
      </c>
      <c r="X1" t="s">
        <v>803</v>
      </c>
      <c r="Y1" t="s">
        <v>157</v>
      </c>
      <c r="Z1" t="s">
        <v>176</v>
      </c>
      <c r="AA1" t="s">
        <v>215</v>
      </c>
      <c r="AB1" t="s">
        <v>667</v>
      </c>
      <c r="AC1" t="s">
        <v>219</v>
      </c>
      <c r="AD1" t="s">
        <v>238</v>
      </c>
      <c r="AE1" t="s">
        <v>244</v>
      </c>
      <c r="AF1" t="s">
        <v>242</v>
      </c>
      <c r="AG1" t="s">
        <v>243</v>
      </c>
      <c r="AH1" t="s">
        <v>240</v>
      </c>
      <c r="AI1" t="s">
        <v>239</v>
      </c>
      <c r="AJ1" t="s">
        <v>205</v>
      </c>
      <c r="AK1" t="s">
        <v>6</v>
      </c>
      <c r="AL1" t="s">
        <v>247</v>
      </c>
      <c r="AM1" t="s">
        <v>233</v>
      </c>
      <c r="AN1" t="s">
        <v>773</v>
      </c>
      <c r="AO1" t="s">
        <v>804</v>
      </c>
      <c r="AP1" t="s">
        <v>805</v>
      </c>
      <c r="AQ1" t="s">
        <v>806</v>
      </c>
      <c r="AR1" t="s">
        <v>251</v>
      </c>
      <c r="AS1" t="s">
        <v>807</v>
      </c>
      <c r="AT1" t="s">
        <v>808</v>
      </c>
      <c r="AU1" t="s">
        <v>809</v>
      </c>
      <c r="AV1" t="s">
        <v>165</v>
      </c>
      <c r="AW1" t="s">
        <v>222</v>
      </c>
      <c r="AX1" t="s">
        <v>221</v>
      </c>
      <c r="AY1" t="s">
        <v>204</v>
      </c>
      <c r="AZ1" t="s">
        <v>203</v>
      </c>
      <c r="BA1" t="s">
        <v>256</v>
      </c>
      <c r="BB1" t="s">
        <v>255</v>
      </c>
      <c r="BC1" t="s">
        <v>213</v>
      </c>
      <c r="BD1" t="s">
        <v>214</v>
      </c>
      <c r="BE1" t="s">
        <v>810</v>
      </c>
      <c r="BF1" t="s">
        <v>250</v>
      </c>
      <c r="BG1" t="s">
        <v>811</v>
      </c>
      <c r="BH1" t="s">
        <v>812</v>
      </c>
      <c r="BI1" t="s">
        <v>813</v>
      </c>
      <c r="BJ1" t="s">
        <v>5</v>
      </c>
      <c r="BK1" t="s">
        <v>246</v>
      </c>
      <c r="BL1" t="s">
        <v>209</v>
      </c>
      <c r="BM1" t="s">
        <v>730</v>
      </c>
      <c r="BN1" t="s">
        <v>814</v>
      </c>
      <c r="BO1" t="s">
        <v>212</v>
      </c>
      <c r="BP1" t="s">
        <v>815</v>
      </c>
      <c r="BQ1" t="s">
        <v>252</v>
      </c>
      <c r="BR1" t="s">
        <v>232</v>
      </c>
      <c r="BS1" t="s">
        <v>169</v>
      </c>
      <c r="BT1" t="s">
        <v>218</v>
      </c>
      <c r="BU1" t="s">
        <v>210</v>
      </c>
      <c r="BV1" t="s">
        <v>737</v>
      </c>
      <c r="BW1" t="s">
        <v>816</v>
      </c>
      <c r="BX1" t="s">
        <v>817</v>
      </c>
      <c r="BY1" t="s">
        <v>818</v>
      </c>
      <c r="BZ1" t="s">
        <v>819</v>
      </c>
      <c r="CA1" t="s">
        <v>220</v>
      </c>
      <c r="CB1" t="s">
        <v>175</v>
      </c>
      <c r="CC1" t="s">
        <v>483</v>
      </c>
    </row>
    <row r="2" spans="1:81" x14ac:dyDescent="0.25">
      <c r="A2">
        <v>0</v>
      </c>
      <c r="B2" t="s">
        <v>183</v>
      </c>
      <c r="C2">
        <v>2.65</v>
      </c>
      <c r="D2" t="s">
        <v>285</v>
      </c>
      <c r="E2">
        <v>1</v>
      </c>
      <c r="F2">
        <v>15.92</v>
      </c>
      <c r="G2">
        <v>6</v>
      </c>
      <c r="H2">
        <v>1</v>
      </c>
      <c r="I2" t="s">
        <v>289</v>
      </c>
      <c r="J2" s="1">
        <v>45849</v>
      </c>
      <c r="K2" s="1">
        <v>45855.492253312659</v>
      </c>
      <c r="L2" t="s">
        <v>286</v>
      </c>
      <c r="M2">
        <v>1.02</v>
      </c>
      <c r="N2">
        <v>1.07</v>
      </c>
      <c r="O2">
        <v>1.23</v>
      </c>
      <c r="P2" t="s">
        <v>282</v>
      </c>
      <c r="Q2" t="s">
        <v>282</v>
      </c>
      <c r="R2" t="s">
        <v>282</v>
      </c>
      <c r="S2" s="2" t="s">
        <v>201</v>
      </c>
      <c r="T2">
        <v>0</v>
      </c>
      <c r="U2">
        <v>0</v>
      </c>
      <c r="V2">
        <v>0</v>
      </c>
      <c r="W2" t="s">
        <v>180</v>
      </c>
      <c r="X2" t="s">
        <v>180</v>
      </c>
      <c r="Y2" s="2" t="s">
        <v>185</v>
      </c>
      <c r="Z2" s="2" t="s">
        <v>200</v>
      </c>
      <c r="AA2">
        <v>1.012</v>
      </c>
      <c r="AB2">
        <v>1.012</v>
      </c>
      <c r="AC2">
        <v>280.87</v>
      </c>
      <c r="AD2">
        <v>265.27999999999997</v>
      </c>
      <c r="AE2">
        <v>34.49</v>
      </c>
      <c r="AF2">
        <v>265.27999999999997</v>
      </c>
      <c r="AG2">
        <v>12</v>
      </c>
      <c r="AH2" t="s">
        <v>284</v>
      </c>
      <c r="AI2" t="s">
        <v>283</v>
      </c>
      <c r="AJ2" t="s">
        <v>277</v>
      </c>
      <c r="AK2">
        <v>0</v>
      </c>
      <c r="AL2">
        <v>0</v>
      </c>
      <c r="AM2" t="s">
        <v>191</v>
      </c>
      <c r="AN2">
        <v>0</v>
      </c>
      <c r="AO2">
        <v>0</v>
      </c>
      <c r="AP2">
        <v>0</v>
      </c>
      <c r="AQ2">
        <v>0</v>
      </c>
      <c r="AR2">
        <v>299.77</v>
      </c>
      <c r="AS2">
        <v>0</v>
      </c>
      <c r="AT2">
        <v>0</v>
      </c>
      <c r="AU2">
        <v>0</v>
      </c>
      <c r="AV2" t="s">
        <v>193</v>
      </c>
      <c r="AW2">
        <v>3.15</v>
      </c>
      <c r="AX2">
        <v>1.1200000000000001</v>
      </c>
      <c r="AY2" t="s">
        <v>276</v>
      </c>
      <c r="AZ2" t="s">
        <v>275</v>
      </c>
      <c r="BA2" t="s">
        <v>288</v>
      </c>
      <c r="BB2" t="s">
        <v>287</v>
      </c>
      <c r="BC2">
        <v>1.123</v>
      </c>
      <c r="BD2">
        <v>1.123</v>
      </c>
      <c r="BE2" t="s">
        <v>279</v>
      </c>
      <c r="BF2">
        <v>265.27999999999997</v>
      </c>
      <c r="BG2">
        <v>0</v>
      </c>
      <c r="BH2" t="s">
        <v>180</v>
      </c>
      <c r="BI2" t="s">
        <v>180</v>
      </c>
      <c r="BJ2">
        <v>15.92</v>
      </c>
      <c r="BK2">
        <v>6</v>
      </c>
      <c r="BL2" t="s">
        <v>280</v>
      </c>
      <c r="BM2">
        <v>0</v>
      </c>
      <c r="BN2">
        <v>0</v>
      </c>
      <c r="BO2" t="s">
        <v>281</v>
      </c>
      <c r="BP2" t="s">
        <v>283</v>
      </c>
      <c r="BQ2">
        <v>299.77</v>
      </c>
      <c r="BR2">
        <v>15.59</v>
      </c>
      <c r="BS2">
        <v>26</v>
      </c>
      <c r="BT2">
        <v>250.11</v>
      </c>
      <c r="BU2" t="s">
        <v>280</v>
      </c>
      <c r="BV2">
        <v>0</v>
      </c>
      <c r="BW2">
        <v>0</v>
      </c>
      <c r="BX2">
        <v>0</v>
      </c>
      <c r="BY2" t="s">
        <v>180</v>
      </c>
      <c r="BZ2" t="s">
        <v>180</v>
      </c>
      <c r="CA2">
        <v>3.12</v>
      </c>
      <c r="CB2">
        <v>1.1100000000000001</v>
      </c>
      <c r="CC2" t="s">
        <v>180</v>
      </c>
    </row>
    <row r="3" spans="1:81" x14ac:dyDescent="0.25">
      <c r="A3">
        <v>0</v>
      </c>
      <c r="B3" t="s">
        <v>183</v>
      </c>
      <c r="C3">
        <v>2.65</v>
      </c>
      <c r="D3" t="s">
        <v>285</v>
      </c>
      <c r="E3">
        <v>1</v>
      </c>
      <c r="F3">
        <v>15.93</v>
      </c>
      <c r="G3">
        <v>6</v>
      </c>
      <c r="H3">
        <v>1</v>
      </c>
      <c r="I3" t="s">
        <v>303</v>
      </c>
      <c r="J3" s="1">
        <v>45849</v>
      </c>
      <c r="K3" s="1">
        <v>45855.492253522672</v>
      </c>
      <c r="L3" t="s">
        <v>300</v>
      </c>
      <c r="M3">
        <v>1.03</v>
      </c>
      <c r="N3">
        <v>1.08</v>
      </c>
      <c r="O3">
        <v>1.24</v>
      </c>
      <c r="P3" t="s">
        <v>282</v>
      </c>
      <c r="Q3" t="s">
        <v>299</v>
      </c>
      <c r="R3" t="s">
        <v>299</v>
      </c>
      <c r="S3" s="2" t="s">
        <v>201</v>
      </c>
      <c r="T3">
        <v>0</v>
      </c>
      <c r="U3">
        <v>0</v>
      </c>
      <c r="V3">
        <v>0</v>
      </c>
      <c r="W3" t="s">
        <v>180</v>
      </c>
      <c r="X3" t="s">
        <v>180</v>
      </c>
      <c r="Y3" s="2" t="s">
        <v>185</v>
      </c>
      <c r="Z3" s="2" t="s">
        <v>200</v>
      </c>
      <c r="AA3">
        <v>1.103</v>
      </c>
      <c r="AB3">
        <v>1.103</v>
      </c>
      <c r="AC3">
        <v>281.13</v>
      </c>
      <c r="AD3">
        <v>265.48</v>
      </c>
      <c r="AE3">
        <v>34.51</v>
      </c>
      <c r="AF3">
        <v>265.48</v>
      </c>
      <c r="AG3">
        <v>12</v>
      </c>
      <c r="AH3" t="s">
        <v>284</v>
      </c>
      <c r="AI3" t="s">
        <v>283</v>
      </c>
      <c r="AJ3" t="s">
        <v>277</v>
      </c>
      <c r="AK3">
        <v>0</v>
      </c>
      <c r="AL3">
        <v>0</v>
      </c>
      <c r="AM3" t="s">
        <v>191</v>
      </c>
      <c r="AN3">
        <v>0</v>
      </c>
      <c r="AO3">
        <v>0</v>
      </c>
      <c r="AP3">
        <v>0</v>
      </c>
      <c r="AQ3">
        <v>0</v>
      </c>
      <c r="AR3">
        <v>299.99</v>
      </c>
      <c r="AS3">
        <v>0</v>
      </c>
      <c r="AT3">
        <v>0</v>
      </c>
      <c r="AU3">
        <v>0</v>
      </c>
      <c r="AV3" t="s">
        <v>193</v>
      </c>
      <c r="AW3">
        <v>3.18</v>
      </c>
      <c r="AX3">
        <v>1.1299999999999999</v>
      </c>
      <c r="AY3" t="s">
        <v>297</v>
      </c>
      <c r="AZ3" t="s">
        <v>296</v>
      </c>
      <c r="BA3" t="s">
        <v>302</v>
      </c>
      <c r="BB3" t="s">
        <v>301</v>
      </c>
      <c r="BC3">
        <v>1.1240000000000001</v>
      </c>
      <c r="BD3">
        <v>1.1240000000000001</v>
      </c>
      <c r="BE3" t="s">
        <v>298</v>
      </c>
      <c r="BF3">
        <v>265.48</v>
      </c>
      <c r="BG3">
        <v>0</v>
      </c>
      <c r="BH3" t="s">
        <v>180</v>
      </c>
      <c r="BI3" t="s">
        <v>180</v>
      </c>
      <c r="BJ3">
        <v>15.93</v>
      </c>
      <c r="BK3">
        <v>6</v>
      </c>
      <c r="BL3" t="s">
        <v>280</v>
      </c>
      <c r="BM3">
        <v>0</v>
      </c>
      <c r="BN3">
        <v>0</v>
      </c>
      <c r="BO3" t="s">
        <v>281</v>
      </c>
      <c r="BP3" t="s">
        <v>283</v>
      </c>
      <c r="BQ3">
        <v>299.99</v>
      </c>
      <c r="BR3">
        <v>15.65</v>
      </c>
      <c r="BS3">
        <v>26</v>
      </c>
      <c r="BT3">
        <v>250.12</v>
      </c>
      <c r="BU3" t="s">
        <v>280</v>
      </c>
      <c r="BV3">
        <v>0</v>
      </c>
      <c r="BW3">
        <v>0</v>
      </c>
      <c r="BX3">
        <v>0</v>
      </c>
      <c r="BY3" t="s">
        <v>180</v>
      </c>
      <c r="BZ3" t="s">
        <v>180</v>
      </c>
      <c r="CA3">
        <v>3.12</v>
      </c>
      <c r="CB3">
        <v>1.1100000000000001</v>
      </c>
      <c r="CC3" t="s">
        <v>180</v>
      </c>
    </row>
    <row r="4" spans="1:81" x14ac:dyDescent="0.25">
      <c r="A4">
        <v>0</v>
      </c>
      <c r="B4" t="s">
        <v>183</v>
      </c>
      <c r="C4" s="2">
        <v>10.64</v>
      </c>
      <c r="D4" t="s">
        <v>318</v>
      </c>
      <c r="E4">
        <v>10</v>
      </c>
      <c r="F4" s="2">
        <v>9.58</v>
      </c>
      <c r="G4">
        <v>9</v>
      </c>
      <c r="H4">
        <v>1</v>
      </c>
      <c r="I4" t="s">
        <v>322</v>
      </c>
      <c r="J4" s="1">
        <v>45849</v>
      </c>
      <c r="K4" s="1">
        <v>45855.492253542594</v>
      </c>
      <c r="L4" t="s">
        <v>319</v>
      </c>
      <c r="M4">
        <v>1.04</v>
      </c>
      <c r="N4">
        <v>1.0900000000000001</v>
      </c>
      <c r="O4">
        <v>1.25</v>
      </c>
      <c r="P4" s="2" t="s">
        <v>314</v>
      </c>
      <c r="Q4" s="2" t="s">
        <v>315</v>
      </c>
      <c r="R4" s="2" t="s">
        <v>315</v>
      </c>
      <c r="S4" s="2" t="s">
        <v>201</v>
      </c>
      <c r="T4">
        <v>0</v>
      </c>
      <c r="U4">
        <v>0</v>
      </c>
      <c r="V4">
        <v>0</v>
      </c>
      <c r="W4" t="s">
        <v>180</v>
      </c>
      <c r="X4" t="s">
        <v>180</v>
      </c>
      <c r="Y4" s="2" t="s">
        <v>185</v>
      </c>
      <c r="Z4" s="2" t="s">
        <v>200</v>
      </c>
      <c r="AA4">
        <v>1.105</v>
      </c>
      <c r="AB4">
        <v>1.105</v>
      </c>
      <c r="AC4">
        <v>112.75</v>
      </c>
      <c r="AD4" s="2">
        <v>106.43</v>
      </c>
      <c r="AE4" s="2">
        <v>29.8</v>
      </c>
      <c r="AF4" s="2">
        <v>106.43</v>
      </c>
      <c r="AG4">
        <v>18</v>
      </c>
      <c r="AH4" t="s">
        <v>317</v>
      </c>
      <c r="AI4" t="s">
        <v>316</v>
      </c>
      <c r="AJ4" t="s">
        <v>312</v>
      </c>
      <c r="AK4">
        <v>0</v>
      </c>
      <c r="AL4">
        <v>0</v>
      </c>
      <c r="AM4" t="s">
        <v>191</v>
      </c>
      <c r="AN4">
        <v>0</v>
      </c>
      <c r="AO4">
        <v>0</v>
      </c>
      <c r="AP4">
        <v>0</v>
      </c>
      <c r="AQ4">
        <v>0</v>
      </c>
      <c r="AR4" s="2">
        <v>136.22999999999999</v>
      </c>
      <c r="AS4">
        <v>0</v>
      </c>
      <c r="AT4">
        <v>0</v>
      </c>
      <c r="AU4">
        <v>0</v>
      </c>
      <c r="AV4" t="s">
        <v>193</v>
      </c>
      <c r="AW4">
        <v>1.29</v>
      </c>
      <c r="AX4">
        <v>1.1399999999999999</v>
      </c>
      <c r="AY4" t="s">
        <v>311</v>
      </c>
      <c r="AZ4" t="s">
        <v>310</v>
      </c>
      <c r="BA4" t="s">
        <v>321</v>
      </c>
      <c r="BB4" t="s">
        <v>320</v>
      </c>
      <c r="BC4">
        <v>1.1259999999999999</v>
      </c>
      <c r="BD4">
        <v>1.1259999999999999</v>
      </c>
      <c r="BE4" t="s">
        <v>313</v>
      </c>
      <c r="BF4" s="2">
        <v>106.43</v>
      </c>
      <c r="BG4">
        <v>0</v>
      </c>
      <c r="BH4" t="s">
        <v>180</v>
      </c>
      <c r="BI4" t="s">
        <v>180</v>
      </c>
      <c r="BJ4" s="2">
        <v>9.58</v>
      </c>
      <c r="BK4">
        <v>9</v>
      </c>
      <c r="BL4" t="s">
        <v>280</v>
      </c>
      <c r="BM4">
        <v>0</v>
      </c>
      <c r="BN4">
        <v>0</v>
      </c>
      <c r="BO4" t="s">
        <v>281</v>
      </c>
      <c r="BP4" t="s">
        <v>316</v>
      </c>
      <c r="BQ4" s="2">
        <v>136.22999999999999</v>
      </c>
      <c r="BR4" s="2">
        <v>6.32</v>
      </c>
      <c r="BS4">
        <v>26</v>
      </c>
      <c r="BT4">
        <v>100.13</v>
      </c>
      <c r="BU4" t="s">
        <v>280</v>
      </c>
      <c r="BV4">
        <v>0</v>
      </c>
      <c r="BW4">
        <v>0</v>
      </c>
      <c r="BX4">
        <v>0</v>
      </c>
      <c r="BY4" t="s">
        <v>180</v>
      </c>
      <c r="BZ4" t="s">
        <v>180</v>
      </c>
      <c r="CA4">
        <v>1.25</v>
      </c>
      <c r="CB4">
        <v>1.1100000000000001</v>
      </c>
      <c r="CC4" t="s">
        <v>180</v>
      </c>
    </row>
    <row r="5" spans="1:81" x14ac:dyDescent="0.25">
      <c r="A5">
        <v>0</v>
      </c>
      <c r="B5" t="s">
        <v>183</v>
      </c>
      <c r="C5">
        <v>2.39</v>
      </c>
      <c r="D5" t="s">
        <v>285</v>
      </c>
      <c r="E5">
        <v>1</v>
      </c>
      <c r="F5">
        <v>14.35</v>
      </c>
      <c r="G5">
        <v>6</v>
      </c>
      <c r="H5">
        <v>1</v>
      </c>
      <c r="I5" t="s">
        <v>338</v>
      </c>
      <c r="J5" s="1">
        <v>45849</v>
      </c>
      <c r="K5" s="1">
        <v>45855.492253562028</v>
      </c>
      <c r="L5" t="s">
        <v>335</v>
      </c>
      <c r="M5">
        <v>1.05</v>
      </c>
      <c r="N5">
        <v>1.21</v>
      </c>
      <c r="O5">
        <v>1.26</v>
      </c>
      <c r="P5" t="s">
        <v>333</v>
      </c>
      <c r="Q5" t="s">
        <v>333</v>
      </c>
      <c r="R5" t="s">
        <v>334</v>
      </c>
      <c r="S5" s="2" t="s">
        <v>201</v>
      </c>
      <c r="T5">
        <v>0</v>
      </c>
      <c r="U5">
        <v>0</v>
      </c>
      <c r="V5">
        <v>0</v>
      </c>
      <c r="W5" t="s">
        <v>180</v>
      </c>
      <c r="X5" t="s">
        <v>180</v>
      </c>
      <c r="Y5" s="2" t="s">
        <v>185</v>
      </c>
      <c r="Z5" s="2" t="s">
        <v>200</v>
      </c>
      <c r="AA5">
        <v>0</v>
      </c>
      <c r="AB5">
        <v>0</v>
      </c>
      <c r="AC5">
        <v>250.14</v>
      </c>
      <c r="AD5">
        <v>239.1</v>
      </c>
      <c r="AE5">
        <v>31.09</v>
      </c>
      <c r="AF5">
        <v>239.1</v>
      </c>
      <c r="AG5">
        <v>12</v>
      </c>
      <c r="AH5" t="s">
        <v>284</v>
      </c>
      <c r="AI5" t="s">
        <v>283</v>
      </c>
      <c r="AJ5" t="s">
        <v>277</v>
      </c>
      <c r="AK5">
        <v>0</v>
      </c>
      <c r="AL5">
        <v>0</v>
      </c>
      <c r="AM5" t="s">
        <v>191</v>
      </c>
      <c r="AN5">
        <v>0</v>
      </c>
      <c r="AO5">
        <v>0</v>
      </c>
      <c r="AP5">
        <v>0</v>
      </c>
      <c r="AQ5">
        <v>0</v>
      </c>
      <c r="AR5">
        <v>270.19</v>
      </c>
      <c r="AS5">
        <v>0</v>
      </c>
      <c r="AT5">
        <v>0</v>
      </c>
      <c r="AU5">
        <v>0</v>
      </c>
      <c r="AV5" t="s">
        <v>193</v>
      </c>
      <c r="AW5">
        <v>2.88</v>
      </c>
      <c r="AX5">
        <v>1.1499999999999999</v>
      </c>
      <c r="AY5" t="s">
        <v>330</v>
      </c>
      <c r="AZ5" t="s">
        <v>329</v>
      </c>
      <c r="BA5" t="s">
        <v>337</v>
      </c>
      <c r="BB5" t="s">
        <v>336</v>
      </c>
      <c r="BC5">
        <v>1</v>
      </c>
      <c r="BD5">
        <v>1</v>
      </c>
      <c r="BE5" t="s">
        <v>332</v>
      </c>
      <c r="BF5">
        <v>239.1</v>
      </c>
      <c r="BG5">
        <v>0</v>
      </c>
      <c r="BH5" t="s">
        <v>180</v>
      </c>
      <c r="BI5" t="s">
        <v>180</v>
      </c>
      <c r="BJ5">
        <v>14.35</v>
      </c>
      <c r="BK5">
        <v>6</v>
      </c>
      <c r="BL5" t="s">
        <v>280</v>
      </c>
      <c r="BM5">
        <v>0</v>
      </c>
      <c r="BN5">
        <v>0</v>
      </c>
      <c r="BO5" t="s">
        <v>281</v>
      </c>
      <c r="BP5" t="s">
        <v>283</v>
      </c>
      <c r="BQ5">
        <v>270.19</v>
      </c>
      <c r="BR5">
        <v>11.04</v>
      </c>
      <c r="BS5">
        <v>26</v>
      </c>
      <c r="BT5">
        <v>250.14</v>
      </c>
      <c r="BU5" t="s">
        <v>280</v>
      </c>
      <c r="BV5">
        <v>0</v>
      </c>
      <c r="BW5">
        <v>0</v>
      </c>
      <c r="BX5">
        <v>0</v>
      </c>
      <c r="BY5" t="s">
        <v>180</v>
      </c>
      <c r="BZ5" t="s">
        <v>180</v>
      </c>
      <c r="CA5">
        <v>2.78</v>
      </c>
      <c r="CB5">
        <v>1.1100000000000001</v>
      </c>
      <c r="CC5" t="s">
        <v>180</v>
      </c>
    </row>
    <row r="6" spans="1:81" x14ac:dyDescent="0.25">
      <c r="A6">
        <v>0</v>
      </c>
      <c r="B6" t="s">
        <v>183</v>
      </c>
      <c r="C6">
        <v>0</v>
      </c>
      <c r="D6" t="s">
        <v>285</v>
      </c>
      <c r="E6">
        <v>1</v>
      </c>
      <c r="F6">
        <v>0</v>
      </c>
      <c r="G6">
        <v>6</v>
      </c>
      <c r="H6">
        <v>1</v>
      </c>
      <c r="I6" t="s">
        <v>338</v>
      </c>
      <c r="J6" s="1">
        <v>45849</v>
      </c>
      <c r="K6" s="1">
        <v>45855.492253581258</v>
      </c>
      <c r="L6" t="s">
        <v>335</v>
      </c>
      <c r="M6">
        <v>1.05</v>
      </c>
      <c r="N6">
        <v>1.21</v>
      </c>
      <c r="O6">
        <v>1.26</v>
      </c>
      <c r="P6" t="s">
        <v>333</v>
      </c>
      <c r="Q6" t="s">
        <v>333</v>
      </c>
      <c r="R6" t="s">
        <v>334</v>
      </c>
      <c r="S6" s="2" t="s">
        <v>201</v>
      </c>
      <c r="T6">
        <v>0</v>
      </c>
      <c r="U6">
        <v>0</v>
      </c>
      <c r="V6">
        <v>0</v>
      </c>
      <c r="W6" t="s">
        <v>180</v>
      </c>
      <c r="X6" t="s">
        <v>180</v>
      </c>
      <c r="Y6" s="2" t="s">
        <v>185</v>
      </c>
      <c r="Z6" s="2" t="s">
        <v>200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12</v>
      </c>
      <c r="AH6" t="s">
        <v>284</v>
      </c>
      <c r="AI6" t="s">
        <v>283</v>
      </c>
      <c r="AJ6" t="s">
        <v>277</v>
      </c>
      <c r="AK6">
        <v>0</v>
      </c>
      <c r="AL6">
        <v>0</v>
      </c>
      <c r="AM6" t="s">
        <v>191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193</v>
      </c>
      <c r="AW6">
        <v>0</v>
      </c>
      <c r="AX6">
        <v>1.1599999999999999</v>
      </c>
      <c r="AY6" t="s">
        <v>330</v>
      </c>
      <c r="AZ6" t="s">
        <v>329</v>
      </c>
      <c r="BA6" t="s">
        <v>337</v>
      </c>
      <c r="BB6" t="s">
        <v>336</v>
      </c>
      <c r="BC6">
        <v>0</v>
      </c>
      <c r="BD6">
        <v>0</v>
      </c>
      <c r="BE6" t="s">
        <v>332</v>
      </c>
      <c r="BF6">
        <v>0</v>
      </c>
      <c r="BG6">
        <v>0</v>
      </c>
      <c r="BH6" t="s">
        <v>180</v>
      </c>
      <c r="BI6" t="s">
        <v>180</v>
      </c>
      <c r="BJ6">
        <v>0</v>
      </c>
      <c r="BK6">
        <v>6</v>
      </c>
      <c r="BL6" t="s">
        <v>280</v>
      </c>
      <c r="BM6">
        <v>0</v>
      </c>
      <c r="BN6">
        <v>0</v>
      </c>
      <c r="BO6" t="s">
        <v>281</v>
      </c>
      <c r="BP6" t="s">
        <v>283</v>
      </c>
      <c r="BQ6">
        <v>0</v>
      </c>
      <c r="BR6">
        <v>0</v>
      </c>
      <c r="BS6">
        <v>26</v>
      </c>
      <c r="BT6">
        <v>250.14</v>
      </c>
      <c r="BU6" t="s">
        <v>280</v>
      </c>
      <c r="BV6">
        <v>0</v>
      </c>
      <c r="BW6">
        <v>0</v>
      </c>
      <c r="BX6">
        <v>0</v>
      </c>
      <c r="BY6" t="s">
        <v>180</v>
      </c>
      <c r="BZ6" t="s">
        <v>180</v>
      </c>
      <c r="CA6">
        <v>0</v>
      </c>
      <c r="CB6">
        <v>1.1100000000000001</v>
      </c>
      <c r="CC6" t="s">
        <v>180</v>
      </c>
    </row>
    <row r="7" spans="1:81" x14ac:dyDescent="0.25">
      <c r="A7">
        <v>0</v>
      </c>
      <c r="B7" t="s">
        <v>183</v>
      </c>
      <c r="C7">
        <v>26.8</v>
      </c>
      <c r="D7" t="s">
        <v>318</v>
      </c>
      <c r="E7">
        <v>10</v>
      </c>
      <c r="F7">
        <v>24.12</v>
      </c>
      <c r="G7">
        <v>9</v>
      </c>
      <c r="H7">
        <v>1</v>
      </c>
      <c r="I7" t="s">
        <v>359</v>
      </c>
      <c r="J7" s="1">
        <v>45849</v>
      </c>
      <c r="K7" s="1">
        <v>45855.49225360054</v>
      </c>
      <c r="L7" t="s">
        <v>356</v>
      </c>
      <c r="M7">
        <v>1.06</v>
      </c>
      <c r="N7">
        <v>1.22</v>
      </c>
      <c r="O7">
        <v>1.27</v>
      </c>
      <c r="P7" t="s">
        <v>354</v>
      </c>
      <c r="Q7" t="s">
        <v>354</v>
      </c>
      <c r="R7" t="s">
        <v>355</v>
      </c>
      <c r="S7" s="2" t="s">
        <v>201</v>
      </c>
      <c r="T7">
        <v>0</v>
      </c>
      <c r="U7">
        <v>0</v>
      </c>
      <c r="V7">
        <v>0</v>
      </c>
      <c r="W7" t="s">
        <v>180</v>
      </c>
      <c r="X7" t="s">
        <v>180</v>
      </c>
      <c r="Y7" s="2" t="s">
        <v>185</v>
      </c>
      <c r="Z7" s="2" t="s">
        <v>200</v>
      </c>
      <c r="AA7">
        <v>1.1100000000000001</v>
      </c>
      <c r="AB7">
        <v>1.1100000000000001</v>
      </c>
      <c r="AC7">
        <v>280.17</v>
      </c>
      <c r="AD7">
        <v>267.95999999999998</v>
      </c>
      <c r="AE7">
        <v>75.040000000000006</v>
      </c>
      <c r="AF7">
        <v>267.95999999999998</v>
      </c>
      <c r="AG7">
        <v>18</v>
      </c>
      <c r="AH7" t="s">
        <v>317</v>
      </c>
      <c r="AI7" t="s">
        <v>316</v>
      </c>
      <c r="AJ7" t="s">
        <v>312</v>
      </c>
      <c r="AK7">
        <v>0</v>
      </c>
      <c r="AL7">
        <v>0</v>
      </c>
      <c r="AM7" t="s">
        <v>191</v>
      </c>
      <c r="AN7">
        <v>0</v>
      </c>
      <c r="AO7">
        <v>0</v>
      </c>
      <c r="AP7">
        <v>0</v>
      </c>
      <c r="AQ7">
        <v>0</v>
      </c>
      <c r="AR7">
        <v>343</v>
      </c>
      <c r="AS7">
        <v>0</v>
      </c>
      <c r="AT7">
        <v>0</v>
      </c>
      <c r="AU7">
        <v>0</v>
      </c>
      <c r="AV7" t="s">
        <v>193</v>
      </c>
      <c r="AW7">
        <v>3.28</v>
      </c>
      <c r="AX7">
        <v>1.17</v>
      </c>
      <c r="AY7" t="s">
        <v>352</v>
      </c>
      <c r="AZ7" t="s">
        <v>351</v>
      </c>
      <c r="BA7" t="s">
        <v>358</v>
      </c>
      <c r="BB7" t="s">
        <v>357</v>
      </c>
      <c r="BC7">
        <v>1.1200000000000001</v>
      </c>
      <c r="BD7">
        <v>1.1200000000000001</v>
      </c>
      <c r="BE7" t="s">
        <v>196</v>
      </c>
      <c r="BF7">
        <v>267.95999999999998</v>
      </c>
      <c r="BG7">
        <v>0</v>
      </c>
      <c r="BH7" t="s">
        <v>180</v>
      </c>
      <c r="BI7" t="s">
        <v>180</v>
      </c>
      <c r="BJ7">
        <v>24.12</v>
      </c>
      <c r="BK7">
        <v>9</v>
      </c>
      <c r="BL7" t="s">
        <v>280</v>
      </c>
      <c r="BM7">
        <v>0</v>
      </c>
      <c r="BN7">
        <v>0</v>
      </c>
      <c r="BO7" t="s">
        <v>281</v>
      </c>
      <c r="BP7" t="s">
        <v>316</v>
      </c>
      <c r="BQ7">
        <v>343</v>
      </c>
      <c r="BR7">
        <v>12.21</v>
      </c>
      <c r="BS7">
        <v>26</v>
      </c>
      <c r="BT7">
        <v>250.15</v>
      </c>
      <c r="BU7" t="s">
        <v>280</v>
      </c>
      <c r="BV7">
        <v>0</v>
      </c>
      <c r="BW7">
        <v>0</v>
      </c>
      <c r="BX7">
        <v>0</v>
      </c>
      <c r="BY7" t="s">
        <v>180</v>
      </c>
      <c r="BZ7" t="s">
        <v>180</v>
      </c>
      <c r="CA7">
        <v>3.11</v>
      </c>
      <c r="CB7">
        <v>1.1100000000000001</v>
      </c>
      <c r="CC7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autoPageBreaks="0"/>
  </sheetPr>
  <dimension ref="A1:AZ6"/>
  <sheetViews>
    <sheetView topLeftCell="L1" workbookViewId="0">
      <selection activeCell="V7" sqref="V7"/>
    </sheetView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4" width="16" bestFit="1" customWidth="1"/>
    <col min="15" max="15" width="10.42578125" bestFit="1" customWidth="1"/>
    <col min="16" max="16" width="20.140625" bestFit="1" customWidth="1"/>
    <col min="17" max="18" width="18.42578125" bestFit="1" customWidth="1"/>
    <col min="19" max="19" width="18.28515625" bestFit="1" customWidth="1"/>
    <col min="20" max="20" width="10.5703125" bestFit="1" customWidth="1"/>
    <col min="21" max="21" width="14.42578125" bestFit="1" customWidth="1"/>
    <col min="22" max="22" width="11.42578125" bestFit="1" customWidth="1"/>
    <col min="23" max="23" width="19.42578125" bestFit="1" customWidth="1"/>
    <col min="24" max="24" width="14.42578125" bestFit="1" customWidth="1"/>
    <col min="25" max="25" width="19.28515625" bestFit="1" customWidth="1"/>
    <col min="26" max="26" width="14.5703125" bestFit="1" customWidth="1"/>
    <col min="27" max="27" width="10.140625" bestFit="1" customWidth="1"/>
    <col min="28" max="28" width="4.85546875" bestFit="1" customWidth="1"/>
    <col min="29" max="29" width="8.85546875" bestFit="1" customWidth="1"/>
    <col min="30" max="30" width="16.140625" bestFit="1" customWidth="1"/>
    <col min="31" max="31" width="11.85546875" bestFit="1" customWidth="1"/>
    <col min="32" max="32" width="11.42578125" bestFit="1" customWidth="1"/>
    <col min="33" max="33" width="30" bestFit="1" customWidth="1"/>
    <col min="34" max="34" width="15" bestFit="1" customWidth="1"/>
    <col min="35" max="35" width="10.5703125" bestFit="1" customWidth="1"/>
    <col min="36" max="36" width="8.7109375" bestFit="1" customWidth="1"/>
    <col min="37" max="37" width="11.7109375" bestFit="1" customWidth="1"/>
    <col min="38" max="38" width="16.42578125" bestFit="1" customWidth="1"/>
    <col min="39" max="39" width="5.28515625" bestFit="1" customWidth="1"/>
    <col min="40" max="40" width="9.28515625" bestFit="1" customWidth="1"/>
    <col min="41" max="41" width="10.140625" bestFit="1" customWidth="1"/>
    <col min="42" max="42" width="18.140625" bestFit="1" customWidth="1"/>
    <col min="43" max="43" width="12.140625" bestFit="1" customWidth="1"/>
    <col min="44" max="44" width="16.28515625" bestFit="1" customWidth="1"/>
    <col min="45" max="45" width="15.5703125" bestFit="1" customWidth="1"/>
    <col min="46" max="46" width="5.42578125" bestFit="1" customWidth="1"/>
    <col min="47" max="47" width="15" bestFit="1" customWidth="1"/>
    <col min="48" max="48" width="24.7109375" bestFit="1" customWidth="1"/>
    <col min="49" max="49" width="23" bestFit="1" customWidth="1"/>
    <col min="50" max="50" width="24.140625" bestFit="1" customWidth="1"/>
    <col min="51" max="51" width="22.85546875" bestFit="1" customWidth="1"/>
    <col min="52" max="52" width="18.28515625" bestFit="1" customWidth="1"/>
  </cols>
  <sheetData>
    <row r="1" spans="1:52" x14ac:dyDescent="0.25">
      <c r="A1" t="s">
        <v>367</v>
      </c>
      <c r="B1" t="s">
        <v>366</v>
      </c>
      <c r="C1" t="s">
        <v>372</v>
      </c>
      <c r="D1" t="s">
        <v>412</v>
      </c>
      <c r="E1" t="s">
        <v>155</v>
      </c>
      <c r="F1" t="s">
        <v>7</v>
      </c>
      <c r="G1" t="s">
        <v>798</v>
      </c>
      <c r="H1" t="s">
        <v>248</v>
      </c>
      <c r="I1" t="s">
        <v>4</v>
      </c>
      <c r="J1" t="s">
        <v>245</v>
      </c>
      <c r="K1" t="s">
        <v>257</v>
      </c>
      <c r="L1" t="s">
        <v>154</v>
      </c>
      <c r="M1" t="s">
        <v>254</v>
      </c>
      <c r="N1" t="s">
        <v>177</v>
      </c>
      <c r="O1" t="s">
        <v>729</v>
      </c>
      <c r="P1" t="s">
        <v>800</v>
      </c>
      <c r="Q1" t="s">
        <v>801</v>
      </c>
      <c r="R1" t="s">
        <v>802</v>
      </c>
      <c r="S1" t="s">
        <v>803</v>
      </c>
      <c r="T1" t="s">
        <v>157</v>
      </c>
      <c r="U1" t="s">
        <v>176</v>
      </c>
      <c r="V1" t="s">
        <v>244</v>
      </c>
      <c r="W1" t="s">
        <v>242</v>
      </c>
      <c r="X1" t="s">
        <v>243</v>
      </c>
      <c r="Y1" t="s">
        <v>240</v>
      </c>
      <c r="Z1" t="s">
        <v>239</v>
      </c>
      <c r="AA1" t="s">
        <v>205</v>
      </c>
      <c r="AB1" t="s">
        <v>6</v>
      </c>
      <c r="AC1" t="s">
        <v>247</v>
      </c>
      <c r="AD1" t="s">
        <v>411</v>
      </c>
      <c r="AE1" t="s">
        <v>233</v>
      </c>
      <c r="AF1" t="s">
        <v>251</v>
      </c>
      <c r="AG1" t="s">
        <v>253</v>
      </c>
      <c r="AH1" t="s">
        <v>256</v>
      </c>
      <c r="AI1" t="s">
        <v>255</v>
      </c>
      <c r="AJ1" t="s">
        <v>213</v>
      </c>
      <c r="AK1" t="s">
        <v>812</v>
      </c>
      <c r="AL1" t="s">
        <v>813</v>
      </c>
      <c r="AM1" t="s">
        <v>5</v>
      </c>
      <c r="AN1" t="s">
        <v>246</v>
      </c>
      <c r="AO1" t="s">
        <v>730</v>
      </c>
      <c r="AP1" t="s">
        <v>814</v>
      </c>
      <c r="AQ1" t="s">
        <v>815</v>
      </c>
      <c r="AR1" t="s">
        <v>252</v>
      </c>
      <c r="AS1" t="s">
        <v>169</v>
      </c>
      <c r="AT1" t="s">
        <v>210</v>
      </c>
      <c r="AU1" t="s">
        <v>737</v>
      </c>
      <c r="AV1" t="s">
        <v>816</v>
      </c>
      <c r="AW1" t="s">
        <v>817</v>
      </c>
      <c r="AX1" t="s">
        <v>818</v>
      </c>
      <c r="AY1" t="s">
        <v>819</v>
      </c>
      <c r="AZ1" t="s">
        <v>483</v>
      </c>
    </row>
    <row r="2" spans="1:52" x14ac:dyDescent="0.25">
      <c r="A2" t="s">
        <v>413</v>
      </c>
      <c r="B2" t="s">
        <v>413</v>
      </c>
      <c r="C2">
        <v>1.49</v>
      </c>
      <c r="D2">
        <v>1.49</v>
      </c>
      <c r="E2" t="s">
        <v>183</v>
      </c>
      <c r="F2">
        <v>0.01</v>
      </c>
      <c r="G2" t="s">
        <v>285</v>
      </c>
      <c r="H2">
        <v>1</v>
      </c>
      <c r="I2">
        <v>0.01</v>
      </c>
      <c r="J2">
        <v>0.75</v>
      </c>
      <c r="K2" t="s">
        <v>421</v>
      </c>
      <c r="L2" s="1">
        <v>45849</v>
      </c>
      <c r="M2" t="s">
        <v>418</v>
      </c>
      <c r="N2" s="2" t="s">
        <v>201</v>
      </c>
      <c r="O2">
        <v>0</v>
      </c>
      <c r="P2">
        <v>0</v>
      </c>
      <c r="Q2">
        <v>0</v>
      </c>
      <c r="R2" t="s">
        <v>180</v>
      </c>
      <c r="S2" t="s">
        <v>180</v>
      </c>
      <c r="T2" s="2" t="s">
        <v>185</v>
      </c>
      <c r="U2" s="2" t="s">
        <v>200</v>
      </c>
      <c r="V2">
        <v>0.03</v>
      </c>
      <c r="W2">
        <v>1.49</v>
      </c>
      <c r="X2">
        <v>1.5</v>
      </c>
      <c r="Y2" t="s">
        <v>417</v>
      </c>
      <c r="Z2" t="s">
        <v>416</v>
      </c>
      <c r="AA2" t="s">
        <v>414</v>
      </c>
      <c r="AB2">
        <v>0</v>
      </c>
      <c r="AC2">
        <v>0</v>
      </c>
      <c r="AD2">
        <v>1.49</v>
      </c>
      <c r="AE2" t="s">
        <v>191</v>
      </c>
      <c r="AF2">
        <v>1.52</v>
      </c>
      <c r="AG2">
        <v>1.52</v>
      </c>
      <c r="AH2" t="s">
        <v>420</v>
      </c>
      <c r="AI2" t="s">
        <v>419</v>
      </c>
      <c r="AJ2">
        <v>1</v>
      </c>
      <c r="AK2" t="s">
        <v>180</v>
      </c>
      <c r="AL2" t="s">
        <v>180</v>
      </c>
      <c r="AM2">
        <v>0.01</v>
      </c>
      <c r="AN2">
        <v>0.75</v>
      </c>
      <c r="AO2">
        <v>0</v>
      </c>
      <c r="AP2">
        <v>0</v>
      </c>
      <c r="AQ2" t="s">
        <v>180</v>
      </c>
      <c r="AR2">
        <v>1.52</v>
      </c>
      <c r="AS2">
        <v>26</v>
      </c>
      <c r="AT2" t="s">
        <v>280</v>
      </c>
      <c r="AU2">
        <v>0</v>
      </c>
      <c r="AV2">
        <v>0</v>
      </c>
      <c r="AW2">
        <v>0</v>
      </c>
      <c r="AX2" t="s">
        <v>180</v>
      </c>
      <c r="AY2" t="s">
        <v>180</v>
      </c>
      <c r="AZ2" t="s">
        <v>180</v>
      </c>
    </row>
    <row r="3" spans="1:52" x14ac:dyDescent="0.25">
      <c r="A3" t="s">
        <v>423</v>
      </c>
      <c r="B3" t="s">
        <v>423</v>
      </c>
      <c r="C3">
        <v>1.45</v>
      </c>
      <c r="D3">
        <v>1.45</v>
      </c>
      <c r="E3" t="s">
        <v>183</v>
      </c>
      <c r="F3">
        <v>0.15</v>
      </c>
      <c r="G3" t="s">
        <v>318</v>
      </c>
      <c r="H3">
        <v>10</v>
      </c>
      <c r="I3">
        <v>0.13</v>
      </c>
      <c r="J3">
        <v>9</v>
      </c>
      <c r="K3" t="s">
        <v>427</v>
      </c>
      <c r="L3" s="1">
        <v>45849</v>
      </c>
      <c r="M3" t="s">
        <v>424</v>
      </c>
      <c r="N3" s="2" t="s">
        <v>201</v>
      </c>
      <c r="O3">
        <v>0</v>
      </c>
      <c r="P3">
        <v>0</v>
      </c>
      <c r="Q3">
        <v>0</v>
      </c>
      <c r="R3" t="s">
        <v>180</v>
      </c>
      <c r="S3" t="s">
        <v>180</v>
      </c>
      <c r="T3" s="2" t="s">
        <v>185</v>
      </c>
      <c r="U3" s="2" t="s">
        <v>200</v>
      </c>
      <c r="V3">
        <v>0.41</v>
      </c>
      <c r="W3">
        <v>1.45</v>
      </c>
      <c r="X3">
        <v>18</v>
      </c>
      <c r="Y3" t="s">
        <v>317</v>
      </c>
      <c r="Z3" t="s">
        <v>316</v>
      </c>
      <c r="AA3" t="s">
        <v>312</v>
      </c>
      <c r="AB3">
        <v>0</v>
      </c>
      <c r="AC3">
        <v>0</v>
      </c>
      <c r="AD3">
        <v>1.45</v>
      </c>
      <c r="AE3" t="s">
        <v>191</v>
      </c>
      <c r="AF3">
        <v>1.86</v>
      </c>
      <c r="AG3">
        <v>1.86</v>
      </c>
      <c r="AH3" t="s">
        <v>426</v>
      </c>
      <c r="AI3" t="s">
        <v>425</v>
      </c>
      <c r="AJ3">
        <v>1</v>
      </c>
      <c r="AK3" t="s">
        <v>180</v>
      </c>
      <c r="AL3" t="s">
        <v>180</v>
      </c>
      <c r="AM3">
        <v>0.13</v>
      </c>
      <c r="AN3">
        <v>9</v>
      </c>
      <c r="AO3">
        <v>0</v>
      </c>
      <c r="AP3">
        <v>0</v>
      </c>
      <c r="AQ3" t="s">
        <v>180</v>
      </c>
      <c r="AR3">
        <v>1.86</v>
      </c>
      <c r="AS3">
        <v>26</v>
      </c>
      <c r="AT3" t="s">
        <v>280</v>
      </c>
      <c r="AU3">
        <v>0</v>
      </c>
      <c r="AV3">
        <v>0</v>
      </c>
      <c r="AW3">
        <v>0</v>
      </c>
      <c r="AX3" t="s">
        <v>180</v>
      </c>
      <c r="AY3" t="s">
        <v>180</v>
      </c>
      <c r="AZ3" t="s">
        <v>180</v>
      </c>
    </row>
    <row r="4" spans="1:52" x14ac:dyDescent="0.25">
      <c r="A4" t="s">
        <v>429</v>
      </c>
      <c r="B4" t="s">
        <v>429</v>
      </c>
      <c r="C4">
        <v>1.46</v>
      </c>
      <c r="D4">
        <v>1.46</v>
      </c>
      <c r="E4" t="s">
        <v>183</v>
      </c>
      <c r="F4">
        <v>0.01</v>
      </c>
      <c r="G4" t="s">
        <v>285</v>
      </c>
      <c r="H4">
        <v>1</v>
      </c>
      <c r="I4">
        <v>0.09</v>
      </c>
      <c r="J4">
        <v>6</v>
      </c>
      <c r="K4" t="s">
        <v>435</v>
      </c>
      <c r="L4" s="1">
        <v>45849</v>
      </c>
      <c r="M4" t="s">
        <v>432</v>
      </c>
      <c r="N4" s="2" t="s">
        <v>201</v>
      </c>
      <c r="O4">
        <v>0</v>
      </c>
      <c r="P4">
        <v>0</v>
      </c>
      <c r="Q4">
        <v>0</v>
      </c>
      <c r="R4" t="s">
        <v>180</v>
      </c>
      <c r="S4" t="s">
        <v>180</v>
      </c>
      <c r="T4" s="2" t="s">
        <v>185</v>
      </c>
      <c r="U4" s="2" t="s">
        <v>200</v>
      </c>
      <c r="V4">
        <v>0.19</v>
      </c>
      <c r="W4">
        <v>1.46</v>
      </c>
      <c r="X4">
        <v>12</v>
      </c>
      <c r="Y4" t="s">
        <v>284</v>
      </c>
      <c r="Z4" t="s">
        <v>431</v>
      </c>
      <c r="AA4" t="s">
        <v>430</v>
      </c>
      <c r="AB4">
        <v>0</v>
      </c>
      <c r="AC4">
        <v>0</v>
      </c>
      <c r="AD4">
        <v>1.46</v>
      </c>
      <c r="AE4" t="s">
        <v>191</v>
      </c>
      <c r="AF4">
        <v>1.65</v>
      </c>
      <c r="AG4">
        <v>1.65</v>
      </c>
      <c r="AH4" t="s">
        <v>434</v>
      </c>
      <c r="AI4" t="s">
        <v>433</v>
      </c>
      <c r="AJ4">
        <v>1</v>
      </c>
      <c r="AK4" t="s">
        <v>180</v>
      </c>
      <c r="AL4" t="s">
        <v>180</v>
      </c>
      <c r="AM4">
        <v>0.09</v>
      </c>
      <c r="AN4">
        <v>6</v>
      </c>
      <c r="AO4">
        <v>0</v>
      </c>
      <c r="AP4">
        <v>0</v>
      </c>
      <c r="AQ4" t="s">
        <v>180</v>
      </c>
      <c r="AR4">
        <v>1.65</v>
      </c>
      <c r="AS4">
        <v>26</v>
      </c>
      <c r="AT4" t="s">
        <v>280</v>
      </c>
      <c r="AU4">
        <v>0</v>
      </c>
      <c r="AV4">
        <v>0</v>
      </c>
      <c r="AW4">
        <v>0</v>
      </c>
      <c r="AX4" t="s">
        <v>180</v>
      </c>
      <c r="AY4" t="s">
        <v>180</v>
      </c>
      <c r="AZ4" t="s">
        <v>180</v>
      </c>
    </row>
    <row r="5" spans="1:52" x14ac:dyDescent="0.25">
      <c r="A5" t="s">
        <v>437</v>
      </c>
      <c r="B5" t="s">
        <v>437</v>
      </c>
      <c r="C5">
        <v>1.47</v>
      </c>
      <c r="D5">
        <v>1.47</v>
      </c>
      <c r="E5" t="s">
        <v>183</v>
      </c>
      <c r="F5">
        <v>0.22</v>
      </c>
      <c r="G5" t="s">
        <v>441</v>
      </c>
      <c r="H5">
        <v>15</v>
      </c>
      <c r="I5">
        <v>0.21</v>
      </c>
      <c r="J5">
        <v>14</v>
      </c>
      <c r="K5" t="s">
        <v>445</v>
      </c>
      <c r="L5" s="1">
        <v>45849</v>
      </c>
      <c r="M5" t="s">
        <v>442</v>
      </c>
      <c r="N5" s="2" t="s">
        <v>201</v>
      </c>
      <c r="O5">
        <v>0</v>
      </c>
      <c r="P5">
        <v>0</v>
      </c>
      <c r="Q5">
        <v>0</v>
      </c>
      <c r="R5" t="s">
        <v>180</v>
      </c>
      <c r="S5" t="s">
        <v>180</v>
      </c>
      <c r="T5" s="2" t="s">
        <v>185</v>
      </c>
      <c r="U5" s="2" t="s">
        <v>200</v>
      </c>
      <c r="V5">
        <v>0.64</v>
      </c>
      <c r="W5">
        <v>1.47</v>
      </c>
      <c r="X5">
        <v>28</v>
      </c>
      <c r="Y5" t="s">
        <v>440</v>
      </c>
      <c r="Z5" t="s">
        <v>439</v>
      </c>
      <c r="AA5" t="s">
        <v>438</v>
      </c>
      <c r="AB5">
        <v>0</v>
      </c>
      <c r="AC5">
        <v>0</v>
      </c>
      <c r="AD5">
        <v>1.47</v>
      </c>
      <c r="AE5" t="s">
        <v>191</v>
      </c>
      <c r="AF5">
        <v>2.11</v>
      </c>
      <c r="AG5">
        <v>2.11</v>
      </c>
      <c r="AH5" t="s">
        <v>444</v>
      </c>
      <c r="AI5" t="s">
        <v>443</v>
      </c>
      <c r="AJ5">
        <v>1</v>
      </c>
      <c r="AK5" t="s">
        <v>180</v>
      </c>
      <c r="AL5" t="s">
        <v>180</v>
      </c>
      <c r="AM5">
        <v>0.21</v>
      </c>
      <c r="AN5">
        <v>14</v>
      </c>
      <c r="AO5">
        <v>0</v>
      </c>
      <c r="AP5">
        <v>0</v>
      </c>
      <c r="AQ5" t="s">
        <v>180</v>
      </c>
      <c r="AR5">
        <v>2.11</v>
      </c>
      <c r="AS5">
        <v>26</v>
      </c>
      <c r="AT5" t="s">
        <v>280</v>
      </c>
      <c r="AU5">
        <v>0</v>
      </c>
      <c r="AV5">
        <v>0</v>
      </c>
      <c r="AW5">
        <v>0</v>
      </c>
      <c r="AX5" t="s">
        <v>180</v>
      </c>
      <c r="AY5" t="s">
        <v>180</v>
      </c>
      <c r="AZ5" t="s">
        <v>180</v>
      </c>
    </row>
    <row r="6" spans="1:52" x14ac:dyDescent="0.25">
      <c r="A6" t="s">
        <v>447</v>
      </c>
      <c r="B6" t="s">
        <v>447</v>
      </c>
      <c r="C6">
        <v>1.48</v>
      </c>
      <c r="D6">
        <v>1.48</v>
      </c>
      <c r="E6" t="s">
        <v>183</v>
      </c>
      <c r="F6">
        <v>0.01</v>
      </c>
      <c r="G6" t="s">
        <v>285</v>
      </c>
      <c r="H6">
        <v>1</v>
      </c>
      <c r="I6">
        <v>0.02</v>
      </c>
      <c r="J6">
        <v>1.5</v>
      </c>
      <c r="K6" t="s">
        <v>454</v>
      </c>
      <c r="L6" s="1">
        <v>45849</v>
      </c>
      <c r="M6" t="s">
        <v>451</v>
      </c>
      <c r="N6" s="2" t="s">
        <v>201</v>
      </c>
      <c r="O6">
        <v>0</v>
      </c>
      <c r="P6">
        <v>0</v>
      </c>
      <c r="Q6">
        <v>0</v>
      </c>
      <c r="R6" t="s">
        <v>180</v>
      </c>
      <c r="S6" t="s">
        <v>180</v>
      </c>
      <c r="T6" s="2" t="s">
        <v>185</v>
      </c>
      <c r="U6" s="2" t="s">
        <v>200</v>
      </c>
      <c r="V6">
        <v>0.05</v>
      </c>
      <c r="W6">
        <v>1.48</v>
      </c>
      <c r="X6">
        <v>3</v>
      </c>
      <c r="Y6" t="s">
        <v>450</v>
      </c>
      <c r="Z6" t="s">
        <v>449</v>
      </c>
      <c r="AA6" t="s">
        <v>448</v>
      </c>
      <c r="AB6">
        <v>0</v>
      </c>
      <c r="AC6">
        <v>0</v>
      </c>
      <c r="AD6">
        <v>1.48</v>
      </c>
      <c r="AE6" t="s">
        <v>191</v>
      </c>
      <c r="AF6">
        <v>1.53</v>
      </c>
      <c r="AG6">
        <v>1.53</v>
      </c>
      <c r="AH6" t="s">
        <v>453</v>
      </c>
      <c r="AI6" t="s">
        <v>452</v>
      </c>
      <c r="AJ6">
        <v>1</v>
      </c>
      <c r="AK6" t="s">
        <v>180</v>
      </c>
      <c r="AL6" t="s">
        <v>180</v>
      </c>
      <c r="AM6">
        <v>0.02</v>
      </c>
      <c r="AN6">
        <v>1.5</v>
      </c>
      <c r="AO6">
        <v>0</v>
      </c>
      <c r="AP6">
        <v>0</v>
      </c>
      <c r="AQ6" t="s">
        <v>180</v>
      </c>
      <c r="AR6">
        <v>1.53</v>
      </c>
      <c r="AS6">
        <v>26</v>
      </c>
      <c r="AT6" t="s">
        <v>280</v>
      </c>
      <c r="AU6">
        <v>0</v>
      </c>
      <c r="AV6">
        <v>0</v>
      </c>
      <c r="AW6">
        <v>0</v>
      </c>
      <c r="AX6" t="s">
        <v>180</v>
      </c>
      <c r="AY6" t="s">
        <v>180</v>
      </c>
      <c r="AZ6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autoPageBreaks="0"/>
  </sheetPr>
  <dimension ref="A1:DI2"/>
  <sheetViews>
    <sheetView topLeftCell="L1" workbookViewId="0">
      <selection activeCell="W1" sqref="W1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5.42578125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37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18.140625" bestFit="1" customWidth="1"/>
    <col min="40" max="40" width="4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8.4257812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5.28515625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5.5703125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758</v>
      </c>
      <c r="B1" t="s">
        <v>172</v>
      </c>
      <c r="C1" t="s">
        <v>166</v>
      </c>
      <c r="D1" t="s">
        <v>155</v>
      </c>
      <c r="E1" t="s">
        <v>7</v>
      </c>
      <c r="F1" t="s">
        <v>820</v>
      </c>
      <c r="G1" t="s">
        <v>4</v>
      </c>
      <c r="H1" t="s">
        <v>821</v>
      </c>
      <c r="I1" t="s">
        <v>688</v>
      </c>
      <c r="J1" t="s">
        <v>822</v>
      </c>
      <c r="K1" t="s">
        <v>823</v>
      </c>
      <c r="L1" t="s">
        <v>154</v>
      </c>
      <c r="M1" t="s">
        <v>375</v>
      </c>
      <c r="N1" t="s">
        <v>668</v>
      </c>
      <c r="O1" t="s">
        <v>824</v>
      </c>
      <c r="P1" t="s">
        <v>170</v>
      </c>
      <c r="Q1" t="s">
        <v>484</v>
      </c>
      <c r="R1" t="s">
        <v>825</v>
      </c>
      <c r="S1" t="s">
        <v>826</v>
      </c>
      <c r="T1" t="s">
        <v>729</v>
      </c>
      <c r="U1" t="s">
        <v>674</v>
      </c>
      <c r="V1" t="s">
        <v>827</v>
      </c>
      <c r="W1" t="s">
        <v>157</v>
      </c>
      <c r="X1" t="s">
        <v>163</v>
      </c>
      <c r="Y1" t="s">
        <v>828</v>
      </c>
      <c r="Z1" t="s">
        <v>176</v>
      </c>
      <c r="AA1" t="s">
        <v>215</v>
      </c>
      <c r="AB1" t="s">
        <v>667</v>
      </c>
      <c r="AC1" t="s">
        <v>829</v>
      </c>
      <c r="AD1" t="s">
        <v>830</v>
      </c>
      <c r="AE1" t="s">
        <v>643</v>
      </c>
      <c r="AF1" t="s">
        <v>219</v>
      </c>
      <c r="AG1" t="s">
        <v>238</v>
      </c>
      <c r="AH1" t="s">
        <v>242</v>
      </c>
      <c r="AI1" t="s">
        <v>680</v>
      </c>
      <c r="AJ1" t="s">
        <v>681</v>
      </c>
      <c r="AK1" t="s">
        <v>831</v>
      </c>
      <c r="AL1" t="s">
        <v>642</v>
      </c>
      <c r="AM1" t="s">
        <v>683</v>
      </c>
      <c r="AN1" t="s">
        <v>168</v>
      </c>
      <c r="AO1" t="s">
        <v>6</v>
      </c>
      <c r="AP1" t="s">
        <v>832</v>
      </c>
      <c r="AQ1" t="s">
        <v>761</v>
      </c>
      <c r="AR1" t="s">
        <v>833</v>
      </c>
      <c r="AS1" t="s">
        <v>834</v>
      </c>
      <c r="AT1" t="s">
        <v>835</v>
      </c>
      <c r="AU1" t="s">
        <v>156</v>
      </c>
      <c r="AV1" t="s">
        <v>691</v>
      </c>
      <c r="AW1" t="s">
        <v>836</v>
      </c>
      <c r="AX1" t="s">
        <v>251</v>
      </c>
      <c r="AY1" t="s">
        <v>3</v>
      </c>
      <c r="AZ1" t="s">
        <v>673</v>
      </c>
      <c r="BA1" t="s">
        <v>670</v>
      </c>
      <c r="BB1" t="s">
        <v>837</v>
      </c>
      <c r="BC1" t="s">
        <v>838</v>
      </c>
      <c r="BD1" t="s">
        <v>672</v>
      </c>
      <c r="BE1" t="s">
        <v>671</v>
      </c>
      <c r="BF1" t="s">
        <v>839</v>
      </c>
      <c r="BG1" t="s">
        <v>840</v>
      </c>
      <c r="BH1" t="s">
        <v>841</v>
      </c>
      <c r="BI1" t="s">
        <v>165</v>
      </c>
      <c r="BJ1" t="s">
        <v>842</v>
      </c>
      <c r="BK1" t="s">
        <v>843</v>
      </c>
      <c r="BL1" t="s">
        <v>844</v>
      </c>
      <c r="BM1" t="s">
        <v>167</v>
      </c>
      <c r="BN1" t="s">
        <v>845</v>
      </c>
      <c r="BO1" t="s">
        <v>846</v>
      </c>
      <c r="BP1" t="s">
        <v>174</v>
      </c>
      <c r="BQ1" t="s">
        <v>213</v>
      </c>
      <c r="BR1" t="s">
        <v>214</v>
      </c>
      <c r="BS1" t="s">
        <v>648</v>
      </c>
      <c r="BT1" t="s">
        <v>647</v>
      </c>
      <c r="BU1" t="s">
        <v>160</v>
      </c>
      <c r="BV1" t="s">
        <v>676</v>
      </c>
      <c r="BW1" t="s">
        <v>677</v>
      </c>
      <c r="BX1" t="s">
        <v>810</v>
      </c>
      <c r="BY1" t="s">
        <v>5</v>
      </c>
      <c r="BZ1" t="s">
        <v>847</v>
      </c>
      <c r="CA1" t="s">
        <v>848</v>
      </c>
      <c r="CB1" t="s">
        <v>849</v>
      </c>
      <c r="CC1" t="s">
        <v>730</v>
      </c>
      <c r="CD1" t="s">
        <v>162</v>
      </c>
      <c r="CE1" t="s">
        <v>161</v>
      </c>
      <c r="CF1" t="s">
        <v>763</v>
      </c>
      <c r="CG1" t="s">
        <v>850</v>
      </c>
      <c r="CH1" t="s">
        <v>732</v>
      </c>
      <c r="CI1" t="s">
        <v>733</v>
      </c>
      <c r="CJ1" t="s">
        <v>851</v>
      </c>
      <c r="CK1" t="s">
        <v>735</v>
      </c>
      <c r="CL1" t="s">
        <v>249</v>
      </c>
      <c r="CM1" t="s">
        <v>462</v>
      </c>
      <c r="CN1" t="s">
        <v>171</v>
      </c>
      <c r="CO1" t="s">
        <v>479</v>
      </c>
      <c r="CP1" t="s">
        <v>252</v>
      </c>
      <c r="CQ1" t="s">
        <v>173</v>
      </c>
      <c r="CR1" t="s">
        <v>690</v>
      </c>
      <c r="CS1" t="s">
        <v>678</v>
      </c>
      <c r="CT1" t="s">
        <v>158</v>
      </c>
      <c r="CU1" t="s">
        <v>169</v>
      </c>
      <c r="CV1" t="s">
        <v>852</v>
      </c>
      <c r="CW1" t="s">
        <v>853</v>
      </c>
      <c r="CX1" t="s">
        <v>854</v>
      </c>
      <c r="CY1" t="s">
        <v>855</v>
      </c>
      <c r="CZ1" t="s">
        <v>856</v>
      </c>
      <c r="DA1" t="s">
        <v>857</v>
      </c>
      <c r="DB1" t="s">
        <v>858</v>
      </c>
      <c r="DC1" t="s">
        <v>859</v>
      </c>
      <c r="DD1" t="s">
        <v>860</v>
      </c>
      <c r="DE1" t="s">
        <v>861</v>
      </c>
      <c r="DF1" t="s">
        <v>175</v>
      </c>
      <c r="DG1" t="s">
        <v>483</v>
      </c>
      <c r="DH1" t="s">
        <v>153</v>
      </c>
      <c r="DI1" t="s">
        <v>689</v>
      </c>
    </row>
    <row r="2" spans="1:113" x14ac:dyDescent="0.25">
      <c r="A2" t="s">
        <v>191</v>
      </c>
      <c r="B2" t="s">
        <v>191</v>
      </c>
      <c r="C2">
        <v>1</v>
      </c>
      <c r="D2" t="s">
        <v>183</v>
      </c>
      <c r="E2" s="2">
        <v>45.13</v>
      </c>
      <c r="F2">
        <v>0</v>
      </c>
      <c r="G2" s="2">
        <v>79.900000000000006</v>
      </c>
      <c r="H2">
        <v>0</v>
      </c>
      <c r="I2" t="s">
        <v>180</v>
      </c>
      <c r="J2">
        <v>0</v>
      </c>
      <c r="K2" t="s">
        <v>862</v>
      </c>
      <c r="L2" s="1">
        <v>45849</v>
      </c>
      <c r="M2">
        <v>63.38</v>
      </c>
      <c r="N2" s="2">
        <v>60.81</v>
      </c>
      <c r="O2">
        <v>0</v>
      </c>
      <c r="P2">
        <v>0</v>
      </c>
      <c r="Q2" s="1">
        <v>45855</v>
      </c>
      <c r="R2" t="s">
        <v>191</v>
      </c>
      <c r="S2" t="s">
        <v>191</v>
      </c>
      <c r="T2">
        <v>0</v>
      </c>
      <c r="U2">
        <v>0</v>
      </c>
      <c r="V2" t="s">
        <v>180</v>
      </c>
      <c r="W2" t="s">
        <v>185</v>
      </c>
      <c r="X2">
        <v>1</v>
      </c>
      <c r="Y2" t="s">
        <v>180</v>
      </c>
      <c r="Z2" t="s">
        <v>200</v>
      </c>
      <c r="AA2">
        <v>5.33</v>
      </c>
      <c r="AB2">
        <v>5.33</v>
      </c>
      <c r="AC2" t="s">
        <v>191</v>
      </c>
      <c r="AD2" t="s">
        <v>191</v>
      </c>
      <c r="AE2" t="s">
        <v>191</v>
      </c>
      <c r="AF2">
        <v>1205.06</v>
      </c>
      <c r="AG2" s="2">
        <v>1144.25</v>
      </c>
      <c r="AH2" s="2">
        <v>1151.5999999999999</v>
      </c>
      <c r="AI2" s="2">
        <v>1144.25</v>
      </c>
      <c r="AJ2">
        <v>7.35</v>
      </c>
      <c r="AK2">
        <v>0</v>
      </c>
      <c r="AL2" t="s">
        <v>191</v>
      </c>
      <c r="AM2" t="s">
        <v>692</v>
      </c>
      <c r="AN2" t="s">
        <v>195</v>
      </c>
      <c r="AO2" s="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180</v>
      </c>
      <c r="AV2" t="s">
        <v>180</v>
      </c>
      <c r="AW2" t="s">
        <v>180</v>
      </c>
      <c r="AX2" s="2">
        <v>1349.18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0.46</v>
      </c>
      <c r="BF2">
        <v>0</v>
      </c>
      <c r="BG2">
        <v>0</v>
      </c>
      <c r="BH2">
        <v>0</v>
      </c>
      <c r="BI2" t="s">
        <v>193</v>
      </c>
      <c r="BJ2" t="s">
        <v>180</v>
      </c>
      <c r="BK2" t="s">
        <v>180</v>
      </c>
      <c r="BL2" t="s">
        <v>180</v>
      </c>
      <c r="BM2" t="s">
        <v>180</v>
      </c>
      <c r="BN2" t="s">
        <v>863</v>
      </c>
      <c r="BO2">
        <v>0</v>
      </c>
      <c r="BP2" t="s">
        <v>180</v>
      </c>
      <c r="BQ2">
        <v>5.4930000000000003</v>
      </c>
      <c r="BR2">
        <v>5.4930000000000003</v>
      </c>
      <c r="BS2" s="1">
        <v>45855.492254166536</v>
      </c>
      <c r="BT2" t="s">
        <v>180</v>
      </c>
      <c r="BU2">
        <v>0</v>
      </c>
      <c r="BV2" t="s">
        <v>682</v>
      </c>
      <c r="BW2">
        <v>0.46</v>
      </c>
      <c r="BX2" t="s">
        <v>180</v>
      </c>
      <c r="BY2" s="2">
        <v>79.900000000000006</v>
      </c>
      <c r="BZ2">
        <v>0</v>
      </c>
      <c r="CA2" s="1">
        <v>45855</v>
      </c>
      <c r="CB2">
        <v>0</v>
      </c>
      <c r="CC2">
        <v>0</v>
      </c>
      <c r="CD2" t="s">
        <v>180</v>
      </c>
      <c r="CE2" t="s">
        <v>765</v>
      </c>
      <c r="CF2">
        <v>0</v>
      </c>
      <c r="CG2">
        <v>0</v>
      </c>
      <c r="CH2">
        <v>0.4</v>
      </c>
      <c r="CI2">
        <v>0.46</v>
      </c>
      <c r="CJ2">
        <v>7.35</v>
      </c>
      <c r="CK2">
        <v>0.46</v>
      </c>
      <c r="CL2">
        <v>0</v>
      </c>
      <c r="CM2">
        <v>0</v>
      </c>
      <c r="CN2" t="s">
        <v>180</v>
      </c>
      <c r="CO2" s="2">
        <v>67.89</v>
      </c>
      <c r="CP2" s="2">
        <v>1357.85</v>
      </c>
      <c r="CQ2" t="s">
        <v>180</v>
      </c>
      <c r="CR2" t="s">
        <v>180</v>
      </c>
      <c r="CS2" s="2">
        <v>1401</v>
      </c>
      <c r="CT2" t="s">
        <v>180</v>
      </c>
      <c r="CU2">
        <v>26</v>
      </c>
      <c r="CV2">
        <v>0</v>
      </c>
      <c r="CW2">
        <v>0</v>
      </c>
      <c r="CX2" s="1">
        <v>45855</v>
      </c>
      <c r="CY2" t="s">
        <v>180</v>
      </c>
      <c r="CZ2" t="s">
        <v>180</v>
      </c>
      <c r="DA2" t="s">
        <v>765</v>
      </c>
      <c r="DB2">
        <v>0</v>
      </c>
      <c r="DC2" t="s">
        <v>180</v>
      </c>
      <c r="DD2" t="s">
        <v>180</v>
      </c>
      <c r="DE2">
        <v>0</v>
      </c>
      <c r="DF2">
        <v>0</v>
      </c>
      <c r="DG2" t="s">
        <v>180</v>
      </c>
      <c r="DH2" t="s">
        <v>180</v>
      </c>
      <c r="DI2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autoPageBreaks="0"/>
  </sheetPr>
  <dimension ref="A1:D7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272</v>
      </c>
      <c r="B1" t="s">
        <v>273</v>
      </c>
      <c r="C1" t="s">
        <v>274</v>
      </c>
      <c r="D1" t="s">
        <v>864</v>
      </c>
    </row>
    <row r="2" spans="1:4" x14ac:dyDescent="0.25">
      <c r="A2" t="s">
        <v>186</v>
      </c>
      <c r="B2" t="s">
        <v>186</v>
      </c>
      <c r="C2" t="s">
        <v>186</v>
      </c>
      <c r="D2" t="s">
        <v>186</v>
      </c>
    </row>
    <row r="3" spans="1:4" x14ac:dyDescent="0.25">
      <c r="A3" t="s">
        <v>186</v>
      </c>
      <c r="B3" t="s">
        <v>186</v>
      </c>
      <c r="C3" t="s">
        <v>186</v>
      </c>
      <c r="D3" t="s">
        <v>186</v>
      </c>
    </row>
    <row r="4" spans="1:4" x14ac:dyDescent="0.25">
      <c r="A4" t="s">
        <v>186</v>
      </c>
      <c r="B4" t="s">
        <v>186</v>
      </c>
      <c r="C4" t="s">
        <v>186</v>
      </c>
      <c r="D4" t="s">
        <v>186</v>
      </c>
    </row>
    <row r="5" spans="1:4" x14ac:dyDescent="0.25">
      <c r="A5" t="s">
        <v>186</v>
      </c>
      <c r="B5" t="s">
        <v>186</v>
      </c>
      <c r="C5" t="s">
        <v>186</v>
      </c>
      <c r="D5" t="s">
        <v>186</v>
      </c>
    </row>
    <row r="6" spans="1:4" x14ac:dyDescent="0.25">
      <c r="A6" t="s">
        <v>186</v>
      </c>
      <c r="B6" t="s">
        <v>186</v>
      </c>
      <c r="C6" t="s">
        <v>186</v>
      </c>
      <c r="D6" t="s">
        <v>186</v>
      </c>
    </row>
    <row r="7" spans="1:4" x14ac:dyDescent="0.25">
      <c r="A7" t="s">
        <v>186</v>
      </c>
      <c r="B7" t="s">
        <v>186</v>
      </c>
      <c r="C7" t="s">
        <v>186</v>
      </c>
      <c r="D7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autoPageBreaks="0"/>
  </sheetPr>
  <dimension ref="A1:D7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269</v>
      </c>
      <c r="B1" t="s">
        <v>270</v>
      </c>
      <c r="C1" t="s">
        <v>271</v>
      </c>
      <c r="D1" t="s">
        <v>864</v>
      </c>
    </row>
    <row r="2" spans="1:4" x14ac:dyDescent="0.25">
      <c r="A2" s="1">
        <v>45850</v>
      </c>
      <c r="B2" s="1">
        <v>45851</v>
      </c>
      <c r="C2" s="1">
        <v>45852</v>
      </c>
      <c r="D2" t="s">
        <v>186</v>
      </c>
    </row>
    <row r="3" spans="1:4" x14ac:dyDescent="0.25">
      <c r="A3" s="1">
        <v>45853</v>
      </c>
      <c r="B3" s="1">
        <v>45854</v>
      </c>
      <c r="C3" s="1">
        <v>45855</v>
      </c>
      <c r="D3" t="s">
        <v>186</v>
      </c>
    </row>
    <row r="4" spans="1:4" x14ac:dyDescent="0.25">
      <c r="A4" s="1">
        <v>45856</v>
      </c>
      <c r="B4" s="1">
        <v>45857</v>
      </c>
      <c r="C4" s="1">
        <v>45858</v>
      </c>
      <c r="D4" t="s">
        <v>186</v>
      </c>
    </row>
    <row r="5" spans="1:4" x14ac:dyDescent="0.25">
      <c r="A5" s="1">
        <v>45859</v>
      </c>
      <c r="B5" s="1">
        <v>45860</v>
      </c>
      <c r="C5" s="1">
        <v>45861</v>
      </c>
      <c r="D5" t="s">
        <v>186</v>
      </c>
    </row>
    <row r="6" spans="1:4" x14ac:dyDescent="0.25">
      <c r="A6" s="1">
        <v>45862</v>
      </c>
      <c r="B6" s="1">
        <v>45863</v>
      </c>
      <c r="C6" s="1">
        <v>45864</v>
      </c>
      <c r="D6" t="s">
        <v>186</v>
      </c>
    </row>
    <row r="7" spans="1:4" x14ac:dyDescent="0.25">
      <c r="A7" s="1">
        <v>45865</v>
      </c>
      <c r="B7" s="1">
        <v>45866</v>
      </c>
      <c r="C7" s="1">
        <v>45867</v>
      </c>
      <c r="D7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259</v>
      </c>
    </row>
    <row r="2" spans="1:1" x14ac:dyDescent="0.25">
      <c r="A2" t="s">
        <v>291</v>
      </c>
    </row>
    <row r="3" spans="1:1" x14ac:dyDescent="0.25">
      <c r="A3" t="s">
        <v>305</v>
      </c>
    </row>
    <row r="4" spans="1:1" x14ac:dyDescent="0.25">
      <c r="A4" t="s">
        <v>324</v>
      </c>
    </row>
    <row r="5" spans="1:1" x14ac:dyDescent="0.25">
      <c r="A5" t="s">
        <v>340</v>
      </c>
    </row>
    <row r="6" spans="1:1" x14ac:dyDescent="0.25">
      <c r="A6" t="s">
        <v>346</v>
      </c>
    </row>
    <row r="7" spans="1:1" x14ac:dyDescent="0.25">
      <c r="A7" t="s">
        <v>361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260</v>
      </c>
    </row>
    <row r="2" spans="1:1" x14ac:dyDescent="0.25">
      <c r="A2" t="s">
        <v>292</v>
      </c>
    </row>
    <row r="3" spans="1:1" x14ac:dyDescent="0.25">
      <c r="A3" t="s">
        <v>306</v>
      </c>
    </row>
    <row r="4" spans="1:1" x14ac:dyDescent="0.25">
      <c r="A4" t="s">
        <v>325</v>
      </c>
    </row>
    <row r="5" spans="1:1" x14ac:dyDescent="0.25">
      <c r="A5" t="s">
        <v>341</v>
      </c>
    </row>
    <row r="6" spans="1:1" x14ac:dyDescent="0.25">
      <c r="A6" t="s">
        <v>347</v>
      </c>
    </row>
    <row r="7" spans="1:1" x14ac:dyDescent="0.25">
      <c r="A7" t="s">
        <v>362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261</v>
      </c>
    </row>
    <row r="2" spans="1:1" x14ac:dyDescent="0.25">
      <c r="A2" t="s">
        <v>293</v>
      </c>
    </row>
    <row r="3" spans="1:1" x14ac:dyDescent="0.25">
      <c r="A3" t="s">
        <v>307</v>
      </c>
    </row>
    <row r="4" spans="1:1" x14ac:dyDescent="0.25">
      <c r="A4" t="s">
        <v>326</v>
      </c>
    </row>
    <row r="5" spans="1:1" x14ac:dyDescent="0.25">
      <c r="A5" t="s">
        <v>342</v>
      </c>
    </row>
    <row r="6" spans="1:1" x14ac:dyDescent="0.25">
      <c r="A6" t="s">
        <v>348</v>
      </c>
    </row>
    <row r="7" spans="1:1" x14ac:dyDescent="0.25">
      <c r="A7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262</v>
      </c>
    </row>
    <row r="2" spans="1:1" x14ac:dyDescent="0.25">
      <c r="A2" t="s">
        <v>294</v>
      </c>
    </row>
    <row r="3" spans="1:1" x14ac:dyDescent="0.25">
      <c r="A3" t="s">
        <v>308</v>
      </c>
    </row>
    <row r="4" spans="1:1" x14ac:dyDescent="0.25">
      <c r="A4" t="s">
        <v>327</v>
      </c>
    </row>
    <row r="5" spans="1:1" x14ac:dyDescent="0.25">
      <c r="A5" t="s">
        <v>343</v>
      </c>
    </row>
    <row r="6" spans="1:1" x14ac:dyDescent="0.25">
      <c r="A6" t="s">
        <v>349</v>
      </c>
    </row>
    <row r="7" spans="1:1" x14ac:dyDescent="0.25">
      <c r="A7" t="s">
        <v>364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263</v>
      </c>
    </row>
    <row r="2" spans="1:1" x14ac:dyDescent="0.25">
      <c r="A2" t="s">
        <v>295</v>
      </c>
    </row>
    <row r="3" spans="1:1" x14ac:dyDescent="0.25">
      <c r="A3" t="s">
        <v>309</v>
      </c>
    </row>
    <row r="4" spans="1:1" x14ac:dyDescent="0.25">
      <c r="A4" t="s">
        <v>328</v>
      </c>
    </row>
    <row r="5" spans="1:1" x14ac:dyDescent="0.25">
      <c r="A5" t="s">
        <v>344</v>
      </c>
    </row>
    <row r="6" spans="1:1" x14ac:dyDescent="0.25">
      <c r="A6" t="s">
        <v>350</v>
      </c>
    </row>
    <row r="7" spans="1:1" x14ac:dyDescent="0.25">
      <c r="A7" t="s">
        <v>365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autoPageBreaks="0"/>
  </sheetPr>
  <dimension ref="A1:F7"/>
  <sheetViews>
    <sheetView workbookViewId="0"/>
  </sheetViews>
  <sheetFormatPr defaultRowHeight="15" x14ac:dyDescent="0.25"/>
  <sheetData>
    <row r="1" spans="1:6" x14ac:dyDescent="0.25">
      <c r="A1" t="s">
        <v>864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</row>
    <row r="2" spans="1:6" x14ac:dyDescent="0.25">
      <c r="A2" t="s">
        <v>186</v>
      </c>
      <c r="B2">
        <v>1.28</v>
      </c>
      <c r="C2">
        <v>1.35</v>
      </c>
      <c r="D2">
        <v>1.42</v>
      </c>
      <c r="E2">
        <v>1.48</v>
      </c>
      <c r="F2">
        <v>1.55</v>
      </c>
    </row>
    <row r="3" spans="1:6" x14ac:dyDescent="0.25">
      <c r="A3" t="s">
        <v>186</v>
      </c>
      <c r="B3">
        <v>1.29</v>
      </c>
      <c r="C3">
        <v>1.36</v>
      </c>
      <c r="D3">
        <v>1.43</v>
      </c>
      <c r="E3">
        <v>1.49</v>
      </c>
      <c r="F3">
        <v>1.56</v>
      </c>
    </row>
    <row r="4" spans="1:6" x14ac:dyDescent="0.25">
      <c r="A4" t="s">
        <v>186</v>
      </c>
      <c r="B4">
        <v>1.31</v>
      </c>
      <c r="C4">
        <v>1.37</v>
      </c>
      <c r="D4">
        <v>1.44</v>
      </c>
      <c r="E4">
        <v>1.51</v>
      </c>
      <c r="F4">
        <v>1.57</v>
      </c>
    </row>
    <row r="5" spans="1:6" x14ac:dyDescent="0.25">
      <c r="A5" t="s">
        <v>186</v>
      </c>
      <c r="B5">
        <v>1.32</v>
      </c>
      <c r="C5">
        <v>1.38</v>
      </c>
      <c r="D5">
        <v>1.45</v>
      </c>
      <c r="E5">
        <v>1.52</v>
      </c>
      <c r="F5">
        <v>1.58</v>
      </c>
    </row>
    <row r="6" spans="1:6" x14ac:dyDescent="0.25">
      <c r="A6" t="s">
        <v>186</v>
      </c>
      <c r="B6">
        <v>1.33</v>
      </c>
      <c r="C6">
        <v>1.39</v>
      </c>
      <c r="D6">
        <v>1.46</v>
      </c>
      <c r="E6">
        <v>1.53</v>
      </c>
      <c r="F6">
        <v>1.59</v>
      </c>
    </row>
    <row r="7" spans="1:6" x14ac:dyDescent="0.25">
      <c r="A7" t="s">
        <v>186</v>
      </c>
      <c r="B7">
        <v>1.34</v>
      </c>
      <c r="C7">
        <v>1.41</v>
      </c>
      <c r="D7">
        <v>1.47</v>
      </c>
      <c r="E7">
        <v>1.54</v>
      </c>
      <c r="F7">
        <v>1.61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autoPageBreaks="0"/>
  </sheetPr>
  <dimension ref="A1:A37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257</v>
      </c>
    </row>
    <row r="2" spans="1:1" x14ac:dyDescent="0.25">
      <c r="A2" t="s">
        <v>289</v>
      </c>
    </row>
    <row r="3" spans="1:1" x14ac:dyDescent="0.25">
      <c r="A3" t="s">
        <v>303</v>
      </c>
    </row>
    <row r="4" spans="1:1" x14ac:dyDescent="0.25">
      <c r="A4" t="s">
        <v>322</v>
      </c>
    </row>
    <row r="5" spans="1:1" x14ac:dyDescent="0.25">
      <c r="A5" t="s">
        <v>338</v>
      </c>
    </row>
    <row r="6" spans="1:1" x14ac:dyDescent="0.25">
      <c r="A6" t="s">
        <v>338</v>
      </c>
    </row>
    <row r="7" spans="1:1" x14ac:dyDescent="0.25">
      <c r="A7" t="s">
        <v>359</v>
      </c>
    </row>
    <row r="8" spans="1:1" x14ac:dyDescent="0.25">
      <c r="A8" t="s">
        <v>382</v>
      </c>
    </row>
    <row r="9" spans="1:1" x14ac:dyDescent="0.25">
      <c r="A9" t="s">
        <v>389</v>
      </c>
    </row>
    <row r="10" spans="1:1" x14ac:dyDescent="0.25">
      <c r="A10" t="s">
        <v>395</v>
      </c>
    </row>
    <row r="11" spans="1:1" x14ac:dyDescent="0.25">
      <c r="A11" t="s">
        <v>402</v>
      </c>
    </row>
    <row r="12" spans="1:1" x14ac:dyDescent="0.25">
      <c r="A12" t="s">
        <v>409</v>
      </c>
    </row>
    <row r="13" spans="1:1" x14ac:dyDescent="0.25">
      <c r="A13" t="s">
        <v>421</v>
      </c>
    </row>
    <row r="14" spans="1:1" x14ac:dyDescent="0.25">
      <c r="A14" t="s">
        <v>427</v>
      </c>
    </row>
    <row r="15" spans="1:1" x14ac:dyDescent="0.25">
      <c r="A15" t="s">
        <v>435</v>
      </c>
    </row>
    <row r="16" spans="1:1" x14ac:dyDescent="0.25">
      <c r="A16" t="s">
        <v>445</v>
      </c>
    </row>
    <row r="17" spans="1:1" x14ac:dyDescent="0.25">
      <c r="A17" t="s">
        <v>454</v>
      </c>
    </row>
    <row r="18" spans="1:1" x14ac:dyDescent="0.25">
      <c r="A18" t="s">
        <v>491</v>
      </c>
    </row>
    <row r="19" spans="1:1" x14ac:dyDescent="0.25">
      <c r="A19" t="s">
        <v>497</v>
      </c>
    </row>
    <row r="20" spans="1:1" x14ac:dyDescent="0.25">
      <c r="A20" t="s">
        <v>503</v>
      </c>
    </row>
    <row r="21" spans="1:1" x14ac:dyDescent="0.25">
      <c r="A21" t="s">
        <v>509</v>
      </c>
    </row>
    <row r="22" spans="1:1" x14ac:dyDescent="0.25">
      <c r="A22" t="s">
        <v>515</v>
      </c>
    </row>
    <row r="23" spans="1:1" x14ac:dyDescent="0.25">
      <c r="A23" t="s">
        <v>532</v>
      </c>
    </row>
    <row r="24" spans="1:1" x14ac:dyDescent="0.25">
      <c r="A24" t="s">
        <v>540</v>
      </c>
    </row>
    <row r="25" spans="1:1" x14ac:dyDescent="0.25">
      <c r="A25" t="s">
        <v>548</v>
      </c>
    </row>
    <row r="26" spans="1:1" x14ac:dyDescent="0.25">
      <c r="A26" t="s">
        <v>556</v>
      </c>
    </row>
    <row r="27" spans="1:1" x14ac:dyDescent="0.25">
      <c r="A27" t="s">
        <v>564</v>
      </c>
    </row>
    <row r="28" spans="1:1" x14ac:dyDescent="0.25">
      <c r="A28" t="s">
        <v>573</v>
      </c>
    </row>
    <row r="29" spans="1:1" x14ac:dyDescent="0.25">
      <c r="A29" t="s">
        <v>580</v>
      </c>
    </row>
    <row r="30" spans="1:1" x14ac:dyDescent="0.25">
      <c r="A30" t="s">
        <v>587</v>
      </c>
    </row>
    <row r="31" spans="1:1" x14ac:dyDescent="0.25">
      <c r="A31" t="s">
        <v>594</v>
      </c>
    </row>
    <row r="32" spans="1:1" x14ac:dyDescent="0.25">
      <c r="A32" t="s">
        <v>601</v>
      </c>
    </row>
    <row r="33" spans="1:1" x14ac:dyDescent="0.25">
      <c r="A33" t="s">
        <v>608</v>
      </c>
    </row>
    <row r="34" spans="1:1" x14ac:dyDescent="0.25">
      <c r="A34" t="s">
        <v>616</v>
      </c>
    </row>
    <row r="35" spans="1:1" x14ac:dyDescent="0.25">
      <c r="A35" t="s">
        <v>624</v>
      </c>
    </row>
    <row r="36" spans="1:1" x14ac:dyDescent="0.25">
      <c r="A36" t="s">
        <v>632</v>
      </c>
    </row>
    <row r="37" spans="1:1" x14ac:dyDescent="0.25">
      <c r="A37" t="s">
        <v>640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autoPageBreaks="0"/>
  </sheetPr>
  <dimension ref="A1:A37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254</v>
      </c>
    </row>
    <row r="2" spans="1:1" x14ac:dyDescent="0.25">
      <c r="A2" t="s">
        <v>286</v>
      </c>
    </row>
    <row r="3" spans="1:1" x14ac:dyDescent="0.25">
      <c r="A3" t="s">
        <v>300</v>
      </c>
    </row>
    <row r="4" spans="1:1" x14ac:dyDescent="0.25">
      <c r="A4" t="s">
        <v>319</v>
      </c>
    </row>
    <row r="5" spans="1:1" x14ac:dyDescent="0.25">
      <c r="A5" t="s">
        <v>335</v>
      </c>
    </row>
    <row r="6" spans="1:1" x14ac:dyDescent="0.25">
      <c r="A6" t="s">
        <v>335</v>
      </c>
    </row>
    <row r="7" spans="1:1" x14ac:dyDescent="0.25">
      <c r="A7" t="s">
        <v>356</v>
      </c>
    </row>
    <row r="8" spans="1:1" x14ac:dyDescent="0.25">
      <c r="A8" t="s">
        <v>379</v>
      </c>
    </row>
    <row r="9" spans="1:1" x14ac:dyDescent="0.25">
      <c r="A9" t="s">
        <v>386</v>
      </c>
    </row>
    <row r="10" spans="1:1" x14ac:dyDescent="0.25">
      <c r="A10" t="s">
        <v>392</v>
      </c>
    </row>
    <row r="11" spans="1:1" x14ac:dyDescent="0.25">
      <c r="A11" t="s">
        <v>399</v>
      </c>
    </row>
    <row r="12" spans="1:1" x14ac:dyDescent="0.25">
      <c r="A12" t="s">
        <v>406</v>
      </c>
    </row>
    <row r="13" spans="1:1" x14ac:dyDescent="0.25">
      <c r="A13" t="s">
        <v>418</v>
      </c>
    </row>
    <row r="14" spans="1:1" x14ac:dyDescent="0.25">
      <c r="A14" t="s">
        <v>424</v>
      </c>
    </row>
    <row r="15" spans="1:1" x14ac:dyDescent="0.25">
      <c r="A15" t="s">
        <v>432</v>
      </c>
    </row>
    <row r="16" spans="1:1" x14ac:dyDescent="0.25">
      <c r="A16" t="s">
        <v>442</v>
      </c>
    </row>
    <row r="17" spans="1:1" x14ac:dyDescent="0.25">
      <c r="A17" t="s">
        <v>451</v>
      </c>
    </row>
    <row r="18" spans="1:1" x14ac:dyDescent="0.25">
      <c r="A18" t="s">
        <v>488</v>
      </c>
    </row>
    <row r="19" spans="1:1" x14ac:dyDescent="0.25">
      <c r="A19" t="s">
        <v>494</v>
      </c>
    </row>
    <row r="20" spans="1:1" x14ac:dyDescent="0.25">
      <c r="A20" t="s">
        <v>500</v>
      </c>
    </row>
    <row r="21" spans="1:1" x14ac:dyDescent="0.25">
      <c r="A21" t="s">
        <v>506</v>
      </c>
    </row>
    <row r="22" spans="1:1" x14ac:dyDescent="0.25">
      <c r="A22" t="s">
        <v>512</v>
      </c>
    </row>
    <row r="23" spans="1:1" x14ac:dyDescent="0.25">
      <c r="A23" t="s">
        <v>529</v>
      </c>
    </row>
    <row r="24" spans="1:1" x14ac:dyDescent="0.25">
      <c r="A24" t="s">
        <v>537</v>
      </c>
    </row>
    <row r="25" spans="1:1" x14ac:dyDescent="0.25">
      <c r="A25" t="s">
        <v>545</v>
      </c>
    </row>
    <row r="26" spans="1:1" x14ac:dyDescent="0.25">
      <c r="A26" t="s">
        <v>553</v>
      </c>
    </row>
    <row r="27" spans="1:1" x14ac:dyDescent="0.25">
      <c r="A27" t="s">
        <v>561</v>
      </c>
    </row>
    <row r="28" spans="1:1" x14ac:dyDescent="0.25">
      <c r="A28" t="s">
        <v>570</v>
      </c>
    </row>
    <row r="29" spans="1:1" x14ac:dyDescent="0.25">
      <c r="A29" t="s">
        <v>577</v>
      </c>
    </row>
    <row r="30" spans="1:1" x14ac:dyDescent="0.25">
      <c r="A30" t="s">
        <v>584</v>
      </c>
    </row>
    <row r="31" spans="1:1" x14ac:dyDescent="0.25">
      <c r="A31" t="s">
        <v>591</v>
      </c>
    </row>
    <row r="32" spans="1:1" x14ac:dyDescent="0.25">
      <c r="A32" t="s">
        <v>598</v>
      </c>
    </row>
    <row r="33" spans="1:1" x14ac:dyDescent="0.25">
      <c r="A33" t="s">
        <v>605</v>
      </c>
    </row>
    <row r="34" spans="1:1" x14ac:dyDescent="0.25">
      <c r="A34" t="s">
        <v>613</v>
      </c>
    </row>
    <row r="35" spans="1:1" x14ac:dyDescent="0.25">
      <c r="A35" t="s">
        <v>621</v>
      </c>
    </row>
    <row r="36" spans="1:1" x14ac:dyDescent="0.25">
      <c r="A36" t="s">
        <v>629</v>
      </c>
    </row>
    <row r="37" spans="1:1" x14ac:dyDescent="0.25">
      <c r="A37" t="s">
        <v>637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FF00"/>
    <pageSetUpPr autoPageBreaks="0"/>
  </sheetPr>
  <dimension ref="A1:A69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177</v>
      </c>
    </row>
    <row r="2" spans="1:1" x14ac:dyDescent="0.25">
      <c r="A2" s="2" t="s">
        <v>201</v>
      </c>
    </row>
    <row r="3" spans="1:1" x14ac:dyDescent="0.25">
      <c r="A3" s="2" t="s">
        <v>201</v>
      </c>
    </row>
    <row r="4" spans="1:1" x14ac:dyDescent="0.25">
      <c r="A4" s="2" t="s">
        <v>201</v>
      </c>
    </row>
    <row r="5" spans="1:1" x14ac:dyDescent="0.25">
      <c r="A5" s="2" t="s">
        <v>201</v>
      </c>
    </row>
    <row r="6" spans="1:1" x14ac:dyDescent="0.25">
      <c r="A6" s="2" t="s">
        <v>201</v>
      </c>
    </row>
    <row r="7" spans="1:1" x14ac:dyDescent="0.25">
      <c r="A7" s="2" t="s">
        <v>201</v>
      </c>
    </row>
    <row r="8" spans="1:1" x14ac:dyDescent="0.25">
      <c r="A8" s="2" t="s">
        <v>201</v>
      </c>
    </row>
    <row r="9" spans="1:1" x14ac:dyDescent="0.25">
      <c r="A9" s="2" t="s">
        <v>201</v>
      </c>
    </row>
    <row r="10" spans="1:1" x14ac:dyDescent="0.25">
      <c r="A10" s="2" t="s">
        <v>201</v>
      </c>
    </row>
    <row r="11" spans="1:1" x14ac:dyDescent="0.25">
      <c r="A11" s="2" t="s">
        <v>201</v>
      </c>
    </row>
    <row r="12" spans="1:1" x14ac:dyDescent="0.25">
      <c r="A12" s="2" t="s">
        <v>201</v>
      </c>
    </row>
    <row r="13" spans="1:1" x14ac:dyDescent="0.25">
      <c r="A13" s="2" t="s">
        <v>201</v>
      </c>
    </row>
    <row r="14" spans="1:1" x14ac:dyDescent="0.25">
      <c r="A14" s="2" t="s">
        <v>201</v>
      </c>
    </row>
    <row r="15" spans="1:1" x14ac:dyDescent="0.25">
      <c r="A15" s="2" t="s">
        <v>201</v>
      </c>
    </row>
    <row r="16" spans="1:1" x14ac:dyDescent="0.25">
      <c r="A16" s="2" t="s">
        <v>201</v>
      </c>
    </row>
    <row r="17" spans="1:1" x14ac:dyDescent="0.25">
      <c r="A17" s="2" t="s">
        <v>201</v>
      </c>
    </row>
    <row r="18" spans="1:1" x14ac:dyDescent="0.25">
      <c r="A18" s="2" t="s">
        <v>201</v>
      </c>
    </row>
    <row r="19" spans="1:1" x14ac:dyDescent="0.25">
      <c r="A19" s="2" t="s">
        <v>201</v>
      </c>
    </row>
    <row r="20" spans="1:1" x14ac:dyDescent="0.25">
      <c r="A20" s="2" t="s">
        <v>201</v>
      </c>
    </row>
    <row r="21" spans="1:1" x14ac:dyDescent="0.25">
      <c r="A21" s="2" t="s">
        <v>201</v>
      </c>
    </row>
    <row r="22" spans="1:1" x14ac:dyDescent="0.25">
      <c r="A22" s="2" t="s">
        <v>201</v>
      </c>
    </row>
    <row r="23" spans="1:1" x14ac:dyDescent="0.25">
      <c r="A23" s="2" t="s">
        <v>201</v>
      </c>
    </row>
    <row r="24" spans="1:1" x14ac:dyDescent="0.25">
      <c r="A24" s="2" t="s">
        <v>201</v>
      </c>
    </row>
    <row r="25" spans="1:1" x14ac:dyDescent="0.25">
      <c r="A25" s="2" t="s">
        <v>201</v>
      </c>
    </row>
    <row r="26" spans="1:1" x14ac:dyDescent="0.25">
      <c r="A26" s="2" t="s">
        <v>201</v>
      </c>
    </row>
    <row r="27" spans="1:1" x14ac:dyDescent="0.25">
      <c r="A27" s="2" t="s">
        <v>201</v>
      </c>
    </row>
    <row r="28" spans="1:1" x14ac:dyDescent="0.25">
      <c r="A28" s="2" t="s">
        <v>201</v>
      </c>
    </row>
    <row r="29" spans="1:1" x14ac:dyDescent="0.25">
      <c r="A29" s="2" t="s">
        <v>201</v>
      </c>
    </row>
    <row r="30" spans="1:1" x14ac:dyDescent="0.25">
      <c r="A30" s="2" t="s">
        <v>201</v>
      </c>
    </row>
    <row r="31" spans="1:1" x14ac:dyDescent="0.25">
      <c r="A31" s="2" t="s">
        <v>201</v>
      </c>
    </row>
    <row r="32" spans="1:1" x14ac:dyDescent="0.25">
      <c r="A32" s="2" t="s">
        <v>201</v>
      </c>
    </row>
    <row r="33" spans="1:1" x14ac:dyDescent="0.25">
      <c r="A33" s="2" t="s">
        <v>201</v>
      </c>
    </row>
    <row r="34" spans="1:1" x14ac:dyDescent="0.25">
      <c r="A34" s="2" t="s">
        <v>201</v>
      </c>
    </row>
    <row r="35" spans="1:1" x14ac:dyDescent="0.25">
      <c r="A35" s="2" t="s">
        <v>201</v>
      </c>
    </row>
    <row r="36" spans="1:1" x14ac:dyDescent="0.25">
      <c r="A36" s="2" t="s">
        <v>201</v>
      </c>
    </row>
    <row r="37" spans="1:1" x14ac:dyDescent="0.25">
      <c r="A37" s="2" t="s">
        <v>201</v>
      </c>
    </row>
    <row r="38" spans="1:1" x14ac:dyDescent="0.25">
      <c r="A38" s="2" t="s">
        <v>201</v>
      </c>
    </row>
    <row r="39" spans="1:1" x14ac:dyDescent="0.25">
      <c r="A39" s="2" t="s">
        <v>201</v>
      </c>
    </row>
    <row r="40" spans="1:1" x14ac:dyDescent="0.25">
      <c r="A40" s="2" t="s">
        <v>201</v>
      </c>
    </row>
    <row r="41" spans="1:1" x14ac:dyDescent="0.25">
      <c r="A41" s="2" t="s">
        <v>201</v>
      </c>
    </row>
    <row r="42" spans="1:1" x14ac:dyDescent="0.25">
      <c r="A42" s="2" t="s">
        <v>201</v>
      </c>
    </row>
    <row r="43" spans="1:1" x14ac:dyDescent="0.25">
      <c r="A43" s="2" t="s">
        <v>201</v>
      </c>
    </row>
    <row r="44" spans="1:1" x14ac:dyDescent="0.25">
      <c r="A44" s="2" t="s">
        <v>201</v>
      </c>
    </row>
    <row r="45" spans="1:1" x14ac:dyDescent="0.25">
      <c r="A45" s="2" t="s">
        <v>201</v>
      </c>
    </row>
    <row r="46" spans="1:1" x14ac:dyDescent="0.25">
      <c r="A46" s="2" t="s">
        <v>201</v>
      </c>
    </row>
    <row r="47" spans="1:1" x14ac:dyDescent="0.25">
      <c r="A47" s="2" t="s">
        <v>201</v>
      </c>
    </row>
    <row r="48" spans="1:1" x14ac:dyDescent="0.25">
      <c r="A48" s="2" t="s">
        <v>201</v>
      </c>
    </row>
    <row r="49" spans="1:1" x14ac:dyDescent="0.25">
      <c r="A49" s="2" t="s">
        <v>201</v>
      </c>
    </row>
    <row r="50" spans="1:1" x14ac:dyDescent="0.25">
      <c r="A50" s="2" t="s">
        <v>201</v>
      </c>
    </row>
    <row r="51" spans="1:1" x14ac:dyDescent="0.25">
      <c r="A51" s="2" t="s">
        <v>201</v>
      </c>
    </row>
    <row r="52" spans="1:1" x14ac:dyDescent="0.25">
      <c r="A52" s="2" t="s">
        <v>201</v>
      </c>
    </row>
    <row r="53" spans="1:1" x14ac:dyDescent="0.25">
      <c r="A53" s="2" t="s">
        <v>201</v>
      </c>
    </row>
    <row r="54" spans="1:1" x14ac:dyDescent="0.25">
      <c r="A54" s="2" t="s">
        <v>201</v>
      </c>
    </row>
    <row r="55" spans="1:1" x14ac:dyDescent="0.25">
      <c r="A55" s="2" t="s">
        <v>201</v>
      </c>
    </row>
    <row r="56" spans="1:1" x14ac:dyDescent="0.25">
      <c r="A56" s="2" t="s">
        <v>201</v>
      </c>
    </row>
    <row r="57" spans="1:1" x14ac:dyDescent="0.25">
      <c r="A57" s="2" t="s">
        <v>201</v>
      </c>
    </row>
    <row r="58" spans="1:1" x14ac:dyDescent="0.25">
      <c r="A58" s="2" t="s">
        <v>201</v>
      </c>
    </row>
    <row r="59" spans="1:1" x14ac:dyDescent="0.25">
      <c r="A59" s="2" t="s">
        <v>201</v>
      </c>
    </row>
    <row r="60" spans="1:1" x14ac:dyDescent="0.25">
      <c r="A60" s="2" t="s">
        <v>201</v>
      </c>
    </row>
    <row r="61" spans="1:1" x14ac:dyDescent="0.25">
      <c r="A61" s="2" t="s">
        <v>201</v>
      </c>
    </row>
    <row r="62" spans="1:1" x14ac:dyDescent="0.25">
      <c r="A62" s="2" t="s">
        <v>201</v>
      </c>
    </row>
    <row r="63" spans="1:1" x14ac:dyDescent="0.25">
      <c r="A63" s="2" t="s">
        <v>201</v>
      </c>
    </row>
    <row r="64" spans="1:1" x14ac:dyDescent="0.25">
      <c r="A64" s="2" t="s">
        <v>201</v>
      </c>
    </row>
    <row r="65" spans="1:1" x14ac:dyDescent="0.25">
      <c r="A65" s="2" t="s">
        <v>201</v>
      </c>
    </row>
    <row r="66" spans="1:1" x14ac:dyDescent="0.25">
      <c r="A66" s="2" t="s">
        <v>201</v>
      </c>
    </row>
    <row r="67" spans="1:1" x14ac:dyDescent="0.25">
      <c r="A67" s="2" t="s">
        <v>201</v>
      </c>
    </row>
    <row r="68" spans="1:1" x14ac:dyDescent="0.25">
      <c r="A68" s="2" t="s">
        <v>201</v>
      </c>
    </row>
    <row r="69" spans="1:1" x14ac:dyDescent="0.25">
      <c r="A69" s="2" t="s">
        <v>201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865</v>
      </c>
    </row>
    <row r="2" spans="1:1" x14ac:dyDescent="0.25">
      <c r="A2" t="s">
        <v>185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00"/>
    <pageSetUpPr autoPageBreaks="0"/>
  </sheetPr>
  <dimension ref="A1:A37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176</v>
      </c>
    </row>
    <row r="2" spans="1:1" x14ac:dyDescent="0.25">
      <c r="A2" t="s">
        <v>200</v>
      </c>
    </row>
    <row r="3" spans="1:1" x14ac:dyDescent="0.25">
      <c r="A3" s="2" t="s">
        <v>200</v>
      </c>
    </row>
    <row r="4" spans="1:1" x14ac:dyDescent="0.25">
      <c r="A4" s="2" t="s">
        <v>200</v>
      </c>
    </row>
    <row r="5" spans="1:1" x14ac:dyDescent="0.25">
      <c r="A5" s="2" t="s">
        <v>200</v>
      </c>
    </row>
    <row r="6" spans="1:1" x14ac:dyDescent="0.25">
      <c r="A6" s="2" t="s">
        <v>200</v>
      </c>
    </row>
    <row r="7" spans="1:1" x14ac:dyDescent="0.25">
      <c r="A7" s="2" t="s">
        <v>200</v>
      </c>
    </row>
    <row r="8" spans="1:1" x14ac:dyDescent="0.25">
      <c r="A8" s="2" t="s">
        <v>200</v>
      </c>
    </row>
    <row r="9" spans="1:1" x14ac:dyDescent="0.25">
      <c r="A9" s="2" t="s">
        <v>200</v>
      </c>
    </row>
    <row r="10" spans="1:1" x14ac:dyDescent="0.25">
      <c r="A10" s="2" t="s">
        <v>200</v>
      </c>
    </row>
    <row r="11" spans="1:1" x14ac:dyDescent="0.25">
      <c r="A11" s="2" t="s">
        <v>200</v>
      </c>
    </row>
    <row r="12" spans="1:1" x14ac:dyDescent="0.25">
      <c r="A12" s="2" t="s">
        <v>200</v>
      </c>
    </row>
    <row r="13" spans="1:1" x14ac:dyDescent="0.25">
      <c r="A13" s="2" t="s">
        <v>200</v>
      </c>
    </row>
    <row r="14" spans="1:1" x14ac:dyDescent="0.25">
      <c r="A14" s="2" t="s">
        <v>200</v>
      </c>
    </row>
    <row r="15" spans="1:1" x14ac:dyDescent="0.25">
      <c r="A15" s="2" t="s">
        <v>200</v>
      </c>
    </row>
    <row r="16" spans="1:1" x14ac:dyDescent="0.25">
      <c r="A16" s="2" t="s">
        <v>200</v>
      </c>
    </row>
    <row r="17" spans="1:1" x14ac:dyDescent="0.25">
      <c r="A17" s="2" t="s">
        <v>200</v>
      </c>
    </row>
    <row r="18" spans="1:1" x14ac:dyDescent="0.25">
      <c r="A18" s="2" t="s">
        <v>200</v>
      </c>
    </row>
    <row r="19" spans="1:1" x14ac:dyDescent="0.25">
      <c r="A19" s="2" t="s">
        <v>200</v>
      </c>
    </row>
    <row r="20" spans="1:1" x14ac:dyDescent="0.25">
      <c r="A20" s="2" t="s">
        <v>200</v>
      </c>
    </row>
    <row r="21" spans="1:1" x14ac:dyDescent="0.25">
      <c r="A21" s="2" t="s">
        <v>200</v>
      </c>
    </row>
    <row r="22" spans="1:1" x14ac:dyDescent="0.25">
      <c r="A22" s="2" t="s">
        <v>200</v>
      </c>
    </row>
    <row r="23" spans="1:1" x14ac:dyDescent="0.25">
      <c r="A23" s="2" t="s">
        <v>200</v>
      </c>
    </row>
    <row r="24" spans="1:1" x14ac:dyDescent="0.25">
      <c r="A24" s="2" t="s">
        <v>200</v>
      </c>
    </row>
    <row r="25" spans="1:1" x14ac:dyDescent="0.25">
      <c r="A25" s="2" t="s">
        <v>200</v>
      </c>
    </row>
    <row r="26" spans="1:1" x14ac:dyDescent="0.25">
      <c r="A26" s="2" t="s">
        <v>200</v>
      </c>
    </row>
    <row r="27" spans="1:1" x14ac:dyDescent="0.25">
      <c r="A27" s="2" t="s">
        <v>200</v>
      </c>
    </row>
    <row r="28" spans="1:1" x14ac:dyDescent="0.25">
      <c r="A28" s="2" t="s">
        <v>200</v>
      </c>
    </row>
    <row r="29" spans="1:1" x14ac:dyDescent="0.25">
      <c r="A29" s="2" t="s">
        <v>200</v>
      </c>
    </row>
    <row r="30" spans="1:1" x14ac:dyDescent="0.25">
      <c r="A30" s="2" t="s">
        <v>200</v>
      </c>
    </row>
    <row r="31" spans="1:1" x14ac:dyDescent="0.25">
      <c r="A31" s="2" t="s">
        <v>200</v>
      </c>
    </row>
    <row r="32" spans="1:1" x14ac:dyDescent="0.25">
      <c r="A32" s="2" t="s">
        <v>200</v>
      </c>
    </row>
    <row r="33" spans="1:1" x14ac:dyDescent="0.25">
      <c r="A33" s="2" t="s">
        <v>200</v>
      </c>
    </row>
    <row r="34" spans="1:1" x14ac:dyDescent="0.25">
      <c r="A34" s="2" t="s">
        <v>200</v>
      </c>
    </row>
    <row r="35" spans="1:1" x14ac:dyDescent="0.25">
      <c r="A35" s="2" t="s">
        <v>200</v>
      </c>
    </row>
    <row r="36" spans="1:1" x14ac:dyDescent="0.25">
      <c r="A36" s="2" t="s">
        <v>200</v>
      </c>
    </row>
    <row r="37" spans="1:1" x14ac:dyDescent="0.25">
      <c r="A37" s="2" t="s">
        <v>200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autoPageBreaks="0"/>
  </sheetPr>
  <dimension ref="A1:E2"/>
  <sheetViews>
    <sheetView workbookViewId="0">
      <selection activeCell="A2" sqref="A2"/>
    </sheetView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155</v>
      </c>
      <c r="B1" t="s">
        <v>866</v>
      </c>
      <c r="C1" t="s">
        <v>154</v>
      </c>
      <c r="D1" t="s">
        <v>163</v>
      </c>
      <c r="E1" t="s">
        <v>169</v>
      </c>
    </row>
    <row r="2" spans="1:5" x14ac:dyDescent="0.25">
      <c r="A2" t="s">
        <v>183</v>
      </c>
      <c r="B2" t="s">
        <v>187</v>
      </c>
      <c r="C2" s="1">
        <v>45849</v>
      </c>
      <c r="D2">
        <v>1</v>
      </c>
      <c r="E2" s="5" t="s">
        <v>872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272</v>
      </c>
      <c r="B1" t="s">
        <v>273</v>
      </c>
      <c r="C1" t="s">
        <v>274</v>
      </c>
      <c r="D1" t="s">
        <v>864</v>
      </c>
    </row>
    <row r="2" spans="1:4" x14ac:dyDescent="0.25">
      <c r="A2" t="s">
        <v>186</v>
      </c>
      <c r="B2" t="s">
        <v>186</v>
      </c>
      <c r="C2" t="s">
        <v>186</v>
      </c>
      <c r="D2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269</v>
      </c>
      <c r="B1" t="s">
        <v>270</v>
      </c>
      <c r="C1" t="s">
        <v>271</v>
      </c>
      <c r="D1" t="s">
        <v>864</v>
      </c>
    </row>
    <row r="2" spans="1:4" x14ac:dyDescent="0.25">
      <c r="A2" s="1">
        <v>45896</v>
      </c>
      <c r="B2" s="1">
        <v>45897</v>
      </c>
      <c r="C2" s="1">
        <v>45898</v>
      </c>
      <c r="D2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259</v>
      </c>
    </row>
    <row r="2" spans="1:1" x14ac:dyDescent="0.25">
      <c r="A2" t="s">
        <v>662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260</v>
      </c>
    </row>
    <row r="2" spans="1:1" x14ac:dyDescent="0.25">
      <c r="A2" t="s">
        <v>663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261</v>
      </c>
    </row>
    <row r="2" spans="1:1" x14ac:dyDescent="0.25">
      <c r="A2" t="s">
        <v>664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262</v>
      </c>
    </row>
    <row r="2" spans="1:1" x14ac:dyDescent="0.25">
      <c r="A2" t="s">
        <v>665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263</v>
      </c>
    </row>
    <row r="2" spans="1:1" x14ac:dyDescent="0.25">
      <c r="A2" t="s">
        <v>666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864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</row>
    <row r="2" spans="1:6" x14ac:dyDescent="0.25">
      <c r="A2" t="s">
        <v>186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176</v>
      </c>
    </row>
    <row r="2" spans="1:1" x14ac:dyDescent="0.25">
      <c r="A2" t="s">
        <v>200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165</v>
      </c>
    </row>
    <row r="2" spans="1:1" x14ac:dyDescent="0.25">
      <c r="A2" t="s">
        <v>193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autoPageBreaks="0"/>
  </sheetPr>
  <dimension ref="A1:A42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258</v>
      </c>
    </row>
    <row r="2" spans="1:1" x14ac:dyDescent="0.25">
      <c r="A2" t="s">
        <v>290</v>
      </c>
    </row>
    <row r="3" spans="1:1" x14ac:dyDescent="0.25">
      <c r="A3" t="s">
        <v>304</v>
      </c>
    </row>
    <row r="4" spans="1:1" x14ac:dyDescent="0.25">
      <c r="A4" t="s">
        <v>323</v>
      </c>
    </row>
    <row r="5" spans="1:1" x14ac:dyDescent="0.25">
      <c r="A5" t="s">
        <v>339</v>
      </c>
    </row>
    <row r="6" spans="1:1" x14ac:dyDescent="0.25">
      <c r="A6" t="s">
        <v>345</v>
      </c>
    </row>
    <row r="7" spans="1:1" x14ac:dyDescent="0.25">
      <c r="A7" t="s">
        <v>360</v>
      </c>
    </row>
    <row r="8" spans="1:1" x14ac:dyDescent="0.25">
      <c r="A8" t="s">
        <v>383</v>
      </c>
    </row>
    <row r="9" spans="1:1" x14ac:dyDescent="0.25">
      <c r="A9" t="s">
        <v>390</v>
      </c>
    </row>
    <row r="10" spans="1:1" x14ac:dyDescent="0.25">
      <c r="A10" t="s">
        <v>396</v>
      </c>
    </row>
    <row r="11" spans="1:1" x14ac:dyDescent="0.25">
      <c r="A11" t="s">
        <v>403</v>
      </c>
    </row>
    <row r="12" spans="1:1" x14ac:dyDescent="0.25">
      <c r="A12" t="s">
        <v>410</v>
      </c>
    </row>
    <row r="13" spans="1:1" x14ac:dyDescent="0.25">
      <c r="A13" t="s">
        <v>492</v>
      </c>
    </row>
    <row r="14" spans="1:1" x14ac:dyDescent="0.25">
      <c r="A14" t="s">
        <v>498</v>
      </c>
    </row>
    <row r="15" spans="1:1" x14ac:dyDescent="0.25">
      <c r="A15" t="s">
        <v>504</v>
      </c>
    </row>
    <row r="16" spans="1:1" x14ac:dyDescent="0.25">
      <c r="A16" t="s">
        <v>510</v>
      </c>
    </row>
    <row r="17" spans="1:1" x14ac:dyDescent="0.25">
      <c r="A17" t="s">
        <v>516</v>
      </c>
    </row>
    <row r="18" spans="1:1" x14ac:dyDescent="0.25">
      <c r="A18" t="s">
        <v>533</v>
      </c>
    </row>
    <row r="19" spans="1:1" x14ac:dyDescent="0.25">
      <c r="A19" t="s">
        <v>541</v>
      </c>
    </row>
    <row r="20" spans="1:1" x14ac:dyDescent="0.25">
      <c r="A20" t="s">
        <v>549</v>
      </c>
    </row>
    <row r="21" spans="1:1" x14ac:dyDescent="0.25">
      <c r="A21" t="s">
        <v>557</v>
      </c>
    </row>
    <row r="22" spans="1:1" x14ac:dyDescent="0.25">
      <c r="A22" t="s">
        <v>565</v>
      </c>
    </row>
    <row r="23" spans="1:1" x14ac:dyDescent="0.25">
      <c r="A23" t="s">
        <v>574</v>
      </c>
    </row>
    <row r="24" spans="1:1" x14ac:dyDescent="0.25">
      <c r="A24" t="s">
        <v>581</v>
      </c>
    </row>
    <row r="25" spans="1:1" x14ac:dyDescent="0.25">
      <c r="A25" t="s">
        <v>588</v>
      </c>
    </row>
    <row r="26" spans="1:1" x14ac:dyDescent="0.25">
      <c r="A26" t="s">
        <v>595</v>
      </c>
    </row>
    <row r="27" spans="1:1" x14ac:dyDescent="0.25">
      <c r="A27" t="s">
        <v>602</v>
      </c>
    </row>
    <row r="28" spans="1:1" x14ac:dyDescent="0.25">
      <c r="A28" t="s">
        <v>422</v>
      </c>
    </row>
    <row r="29" spans="1:1" x14ac:dyDescent="0.25">
      <c r="A29" t="s">
        <v>428</v>
      </c>
    </row>
    <row r="30" spans="1:1" x14ac:dyDescent="0.25">
      <c r="A30" t="s">
        <v>436</v>
      </c>
    </row>
    <row r="31" spans="1:1" x14ac:dyDescent="0.25">
      <c r="A31" t="s">
        <v>446</v>
      </c>
    </row>
    <row r="32" spans="1:1" x14ac:dyDescent="0.25">
      <c r="A32" t="s">
        <v>455</v>
      </c>
    </row>
    <row r="33" spans="1:1" x14ac:dyDescent="0.25">
      <c r="A33" t="s">
        <v>705</v>
      </c>
    </row>
    <row r="34" spans="1:1" x14ac:dyDescent="0.25">
      <c r="A34" t="s">
        <v>708</v>
      </c>
    </row>
    <row r="35" spans="1:1" x14ac:dyDescent="0.25">
      <c r="A35" t="s">
        <v>711</v>
      </c>
    </row>
    <row r="36" spans="1:1" x14ac:dyDescent="0.25">
      <c r="A36" t="s">
        <v>714</v>
      </c>
    </row>
    <row r="37" spans="1:1" x14ac:dyDescent="0.25">
      <c r="A37" t="s">
        <v>717</v>
      </c>
    </row>
    <row r="38" spans="1:1" x14ac:dyDescent="0.25">
      <c r="A38" t="s">
        <v>609</v>
      </c>
    </row>
    <row r="39" spans="1:1" x14ac:dyDescent="0.25">
      <c r="A39" t="s">
        <v>617</v>
      </c>
    </row>
    <row r="40" spans="1:1" x14ac:dyDescent="0.25">
      <c r="A40" t="s">
        <v>625</v>
      </c>
    </row>
    <row r="41" spans="1:1" x14ac:dyDescent="0.25">
      <c r="A41" t="s">
        <v>633</v>
      </c>
    </row>
    <row r="42" spans="1:1" x14ac:dyDescent="0.25">
      <c r="A42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22" bestFit="1" customWidth="1"/>
  </cols>
  <sheetData>
    <row r="1" spans="1:1" x14ac:dyDescent="0.25">
      <c r="A1" t="s">
        <v>156</v>
      </c>
    </row>
    <row r="2" spans="1:1" x14ac:dyDescent="0.25">
      <c r="A2" t="s">
        <v>184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autoPageBreaks="0"/>
  </sheetPr>
  <dimension ref="A1:E1"/>
  <sheetViews>
    <sheetView workbookViewId="0"/>
  </sheetViews>
  <sheetFormatPr defaultRowHeight="15" x14ac:dyDescent="0.25"/>
  <cols>
    <col min="1" max="2" width="8.140625" bestFit="1" customWidth="1"/>
    <col min="3" max="3" width="7.140625" bestFit="1" customWidth="1"/>
    <col min="4" max="4" width="5.5703125" bestFit="1" customWidth="1"/>
    <col min="5" max="5" width="15.5703125" bestFit="1" customWidth="1"/>
  </cols>
  <sheetData>
    <row r="1" spans="1:5" x14ac:dyDescent="0.25">
      <c r="A1" t="s">
        <v>367</v>
      </c>
      <c r="B1" t="s">
        <v>867</v>
      </c>
      <c r="C1" t="s">
        <v>650</v>
      </c>
      <c r="D1" t="s">
        <v>649</v>
      </c>
      <c r="E1" t="s">
        <v>169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651</v>
      </c>
      <c r="B1" t="s">
        <v>652</v>
      </c>
      <c r="C1" t="s">
        <v>653</v>
      </c>
      <c r="D1" t="s">
        <v>654</v>
      </c>
      <c r="E1" t="s">
        <v>655</v>
      </c>
    </row>
    <row r="2" spans="1:5" x14ac:dyDescent="0.25">
      <c r="A2" t="s">
        <v>657</v>
      </c>
      <c r="B2" t="s">
        <v>658</v>
      </c>
      <c r="C2" t="s">
        <v>659</v>
      </c>
      <c r="D2" t="s">
        <v>660</v>
      </c>
      <c r="E2" t="s">
        <v>661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autoPageBreaks="0"/>
  </sheetPr>
  <dimension ref="A1:A37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256</v>
      </c>
    </row>
    <row r="2" spans="1:1" x14ac:dyDescent="0.25">
      <c r="A2" t="s">
        <v>288</v>
      </c>
    </row>
    <row r="3" spans="1:1" x14ac:dyDescent="0.25">
      <c r="A3" t="s">
        <v>302</v>
      </c>
    </row>
    <row r="4" spans="1:1" x14ac:dyDescent="0.25">
      <c r="A4" t="s">
        <v>321</v>
      </c>
    </row>
    <row r="5" spans="1:1" x14ac:dyDescent="0.25">
      <c r="A5" t="s">
        <v>337</v>
      </c>
    </row>
    <row r="6" spans="1:1" x14ac:dyDescent="0.25">
      <c r="A6" t="s">
        <v>337</v>
      </c>
    </row>
    <row r="7" spans="1:1" x14ac:dyDescent="0.25">
      <c r="A7" t="s">
        <v>358</v>
      </c>
    </row>
    <row r="8" spans="1:1" x14ac:dyDescent="0.25">
      <c r="A8" t="s">
        <v>381</v>
      </c>
    </row>
    <row r="9" spans="1:1" x14ac:dyDescent="0.25">
      <c r="A9" t="s">
        <v>388</v>
      </c>
    </row>
    <row r="10" spans="1:1" x14ac:dyDescent="0.25">
      <c r="A10" t="s">
        <v>394</v>
      </c>
    </row>
    <row r="11" spans="1:1" x14ac:dyDescent="0.25">
      <c r="A11" t="s">
        <v>401</v>
      </c>
    </row>
    <row r="12" spans="1:1" x14ac:dyDescent="0.25">
      <c r="A12" t="s">
        <v>408</v>
      </c>
    </row>
    <row r="13" spans="1:1" x14ac:dyDescent="0.25">
      <c r="A13" t="s">
        <v>420</v>
      </c>
    </row>
    <row r="14" spans="1:1" x14ac:dyDescent="0.25">
      <c r="A14" t="s">
        <v>426</v>
      </c>
    </row>
    <row r="15" spans="1:1" x14ac:dyDescent="0.25">
      <c r="A15" t="s">
        <v>434</v>
      </c>
    </row>
    <row r="16" spans="1:1" x14ac:dyDescent="0.25">
      <c r="A16" t="s">
        <v>444</v>
      </c>
    </row>
    <row r="17" spans="1:1" x14ac:dyDescent="0.25">
      <c r="A17" t="s">
        <v>453</v>
      </c>
    </row>
    <row r="18" spans="1:1" x14ac:dyDescent="0.25">
      <c r="A18" t="s">
        <v>490</v>
      </c>
    </row>
    <row r="19" spans="1:1" x14ac:dyDescent="0.25">
      <c r="A19" t="s">
        <v>496</v>
      </c>
    </row>
    <row r="20" spans="1:1" x14ac:dyDescent="0.25">
      <c r="A20" t="s">
        <v>502</v>
      </c>
    </row>
    <row r="21" spans="1:1" x14ac:dyDescent="0.25">
      <c r="A21" t="s">
        <v>508</v>
      </c>
    </row>
    <row r="22" spans="1:1" x14ac:dyDescent="0.25">
      <c r="A22" t="s">
        <v>514</v>
      </c>
    </row>
    <row r="23" spans="1:1" x14ac:dyDescent="0.25">
      <c r="A23" t="s">
        <v>531</v>
      </c>
    </row>
    <row r="24" spans="1:1" x14ac:dyDescent="0.25">
      <c r="A24" t="s">
        <v>539</v>
      </c>
    </row>
    <row r="25" spans="1:1" x14ac:dyDescent="0.25">
      <c r="A25" t="s">
        <v>547</v>
      </c>
    </row>
    <row r="26" spans="1:1" x14ac:dyDescent="0.25">
      <c r="A26" t="s">
        <v>555</v>
      </c>
    </row>
    <row r="27" spans="1:1" x14ac:dyDescent="0.25">
      <c r="A27" t="s">
        <v>563</v>
      </c>
    </row>
    <row r="28" spans="1:1" x14ac:dyDescent="0.25">
      <c r="A28" t="s">
        <v>572</v>
      </c>
    </row>
    <row r="29" spans="1:1" x14ac:dyDescent="0.25">
      <c r="A29" t="s">
        <v>579</v>
      </c>
    </row>
    <row r="30" spans="1:1" x14ac:dyDescent="0.25">
      <c r="A30" t="s">
        <v>586</v>
      </c>
    </row>
    <row r="31" spans="1:1" x14ac:dyDescent="0.25">
      <c r="A31" t="s">
        <v>593</v>
      </c>
    </row>
    <row r="32" spans="1:1" x14ac:dyDescent="0.25">
      <c r="A32" t="s">
        <v>600</v>
      </c>
    </row>
    <row r="33" spans="1:1" x14ac:dyDescent="0.25">
      <c r="A33" t="s">
        <v>607</v>
      </c>
    </row>
    <row r="34" spans="1:1" x14ac:dyDescent="0.25">
      <c r="A34" t="s">
        <v>615</v>
      </c>
    </row>
    <row r="35" spans="1:1" x14ac:dyDescent="0.25">
      <c r="A35" t="s">
        <v>623</v>
      </c>
    </row>
    <row r="36" spans="1:1" x14ac:dyDescent="0.25">
      <c r="A36" t="s">
        <v>631</v>
      </c>
    </row>
    <row r="37" spans="1:1" x14ac:dyDescent="0.25">
      <c r="A37" t="s">
        <v>639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autoPageBreaks="0"/>
  </sheetPr>
  <dimension ref="A1:A37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255</v>
      </c>
    </row>
    <row r="2" spans="1:1" x14ac:dyDescent="0.25">
      <c r="A2" t="s">
        <v>287</v>
      </c>
    </row>
    <row r="3" spans="1:1" x14ac:dyDescent="0.25">
      <c r="A3" t="s">
        <v>301</v>
      </c>
    </row>
    <row r="4" spans="1:1" x14ac:dyDescent="0.25">
      <c r="A4" t="s">
        <v>320</v>
      </c>
    </row>
    <row r="5" spans="1:1" x14ac:dyDescent="0.25">
      <c r="A5" t="s">
        <v>336</v>
      </c>
    </row>
    <row r="6" spans="1:1" x14ac:dyDescent="0.25">
      <c r="A6" t="s">
        <v>336</v>
      </c>
    </row>
    <row r="7" spans="1:1" x14ac:dyDescent="0.25">
      <c r="A7" t="s">
        <v>357</v>
      </c>
    </row>
    <row r="8" spans="1:1" x14ac:dyDescent="0.25">
      <c r="A8" t="s">
        <v>380</v>
      </c>
    </row>
    <row r="9" spans="1:1" x14ac:dyDescent="0.25">
      <c r="A9" t="s">
        <v>387</v>
      </c>
    </row>
    <row r="10" spans="1:1" x14ac:dyDescent="0.25">
      <c r="A10" t="s">
        <v>393</v>
      </c>
    </row>
    <row r="11" spans="1:1" x14ac:dyDescent="0.25">
      <c r="A11" t="s">
        <v>400</v>
      </c>
    </row>
    <row r="12" spans="1:1" x14ac:dyDescent="0.25">
      <c r="A12" t="s">
        <v>407</v>
      </c>
    </row>
    <row r="13" spans="1:1" x14ac:dyDescent="0.25">
      <c r="A13" t="s">
        <v>419</v>
      </c>
    </row>
    <row r="14" spans="1:1" x14ac:dyDescent="0.25">
      <c r="A14" t="s">
        <v>425</v>
      </c>
    </row>
    <row r="15" spans="1:1" x14ac:dyDescent="0.25">
      <c r="A15" t="s">
        <v>433</v>
      </c>
    </row>
    <row r="16" spans="1:1" x14ac:dyDescent="0.25">
      <c r="A16" t="s">
        <v>443</v>
      </c>
    </row>
    <row r="17" spans="1:1" x14ac:dyDescent="0.25">
      <c r="A17" t="s">
        <v>452</v>
      </c>
    </row>
    <row r="18" spans="1:1" x14ac:dyDescent="0.25">
      <c r="A18" t="s">
        <v>489</v>
      </c>
    </row>
    <row r="19" spans="1:1" x14ac:dyDescent="0.25">
      <c r="A19" t="s">
        <v>495</v>
      </c>
    </row>
    <row r="20" spans="1:1" x14ac:dyDescent="0.25">
      <c r="A20" t="s">
        <v>501</v>
      </c>
    </row>
    <row r="21" spans="1:1" x14ac:dyDescent="0.25">
      <c r="A21" t="s">
        <v>507</v>
      </c>
    </row>
    <row r="22" spans="1:1" x14ac:dyDescent="0.25">
      <c r="A22" t="s">
        <v>513</v>
      </c>
    </row>
    <row r="23" spans="1:1" x14ac:dyDescent="0.25">
      <c r="A23" t="s">
        <v>530</v>
      </c>
    </row>
    <row r="24" spans="1:1" x14ac:dyDescent="0.25">
      <c r="A24" t="s">
        <v>538</v>
      </c>
    </row>
    <row r="25" spans="1:1" x14ac:dyDescent="0.25">
      <c r="A25" t="s">
        <v>546</v>
      </c>
    </row>
    <row r="26" spans="1:1" x14ac:dyDescent="0.25">
      <c r="A26" t="s">
        <v>554</v>
      </c>
    </row>
    <row r="27" spans="1:1" x14ac:dyDescent="0.25">
      <c r="A27" t="s">
        <v>562</v>
      </c>
    </row>
    <row r="28" spans="1:1" x14ac:dyDescent="0.25">
      <c r="A28" t="s">
        <v>571</v>
      </c>
    </row>
    <row r="29" spans="1:1" x14ac:dyDescent="0.25">
      <c r="A29" t="s">
        <v>578</v>
      </c>
    </row>
    <row r="30" spans="1:1" x14ac:dyDescent="0.25">
      <c r="A30" t="s">
        <v>585</v>
      </c>
    </row>
    <row r="31" spans="1:1" x14ac:dyDescent="0.25">
      <c r="A31" t="s">
        <v>592</v>
      </c>
    </row>
    <row r="32" spans="1:1" x14ac:dyDescent="0.25">
      <c r="A32" t="s">
        <v>599</v>
      </c>
    </row>
    <row r="33" spans="1:1" x14ac:dyDescent="0.25">
      <c r="A33" t="s">
        <v>606</v>
      </c>
    </row>
    <row r="34" spans="1:1" x14ac:dyDescent="0.25">
      <c r="A34" t="s">
        <v>614</v>
      </c>
    </row>
    <row r="35" spans="1:1" x14ac:dyDescent="0.25">
      <c r="A35" t="s">
        <v>622</v>
      </c>
    </row>
    <row r="36" spans="1:1" x14ac:dyDescent="0.25">
      <c r="A36" t="s">
        <v>630</v>
      </c>
    </row>
    <row r="37" spans="1:1" x14ac:dyDescent="0.25">
      <c r="A37" t="s">
        <v>638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367</v>
      </c>
      <c r="B1" t="s">
        <v>867</v>
      </c>
      <c r="C1" t="s">
        <v>648</v>
      </c>
      <c r="D1" t="s">
        <v>647</v>
      </c>
      <c r="E1" t="s">
        <v>169</v>
      </c>
    </row>
    <row r="2" spans="1:5" x14ac:dyDescent="0.25">
      <c r="A2" t="s">
        <v>193</v>
      </c>
      <c r="B2" t="s">
        <v>186</v>
      </c>
      <c r="C2" s="1">
        <v>45895</v>
      </c>
      <c r="D2" t="s">
        <v>656</v>
      </c>
      <c r="E2" s="5" t="s">
        <v>872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179</v>
      </c>
    </row>
    <row r="2" spans="1:1" x14ac:dyDescent="0.25">
      <c r="A2" t="s">
        <v>202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257</v>
      </c>
      <c r="B1" t="s">
        <v>254</v>
      </c>
      <c r="C1" t="s">
        <v>177</v>
      </c>
      <c r="D1" t="s">
        <v>256</v>
      </c>
      <c r="E1" t="s">
        <v>255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702</v>
      </c>
      <c r="B1" t="s">
        <v>701</v>
      </c>
    </row>
    <row r="2" spans="1:2" x14ac:dyDescent="0.25">
      <c r="A2" t="s">
        <v>704</v>
      </c>
      <c r="B2" t="s">
        <v>703</v>
      </c>
    </row>
    <row r="3" spans="1:2" x14ac:dyDescent="0.25">
      <c r="A3" t="s">
        <v>707</v>
      </c>
      <c r="B3" t="s">
        <v>706</v>
      </c>
    </row>
    <row r="4" spans="1:2" x14ac:dyDescent="0.25">
      <c r="A4" t="s">
        <v>710</v>
      </c>
      <c r="B4" t="s">
        <v>709</v>
      </c>
    </row>
    <row r="5" spans="1:2" x14ac:dyDescent="0.25">
      <c r="A5" t="s">
        <v>713</v>
      </c>
      <c r="B5" t="s">
        <v>712</v>
      </c>
    </row>
    <row r="6" spans="1:2" x14ac:dyDescent="0.25">
      <c r="A6" t="s">
        <v>716</v>
      </c>
      <c r="B6" t="s">
        <v>715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153</v>
      </c>
    </row>
    <row r="2" spans="1:1" x14ac:dyDescent="0.25">
      <c r="A2" t="s">
        <v>181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11.5703125" bestFit="1" customWidth="1"/>
    <col min="2" max="2" width="14.7109375" bestFit="1" customWidth="1"/>
  </cols>
  <sheetData>
    <row r="1" spans="1:2" x14ac:dyDescent="0.25">
      <c r="A1" t="s">
        <v>645</v>
      </c>
      <c r="B1" t="s">
        <v>164</v>
      </c>
    </row>
    <row r="2" spans="1:2" x14ac:dyDescent="0.25">
      <c r="A2" s="1">
        <v>45849</v>
      </c>
      <c r="B2" t="s">
        <v>192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174</v>
      </c>
    </row>
    <row r="2" spans="1:1" x14ac:dyDescent="0.25">
      <c r="A2" t="s">
        <v>199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676</v>
      </c>
      <c r="B1" t="s">
        <v>677</v>
      </c>
      <c r="C1" t="s">
        <v>675</v>
      </c>
    </row>
    <row r="2" spans="1:3" x14ac:dyDescent="0.25">
      <c r="A2" t="s">
        <v>682</v>
      </c>
      <c r="B2">
        <v>0.46</v>
      </c>
      <c r="C2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autoPageBreaks="0"/>
  </sheetPr>
  <dimension ref="A1:A12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815</v>
      </c>
    </row>
    <row r="2" spans="1:1" x14ac:dyDescent="0.25">
      <c r="A2" t="s">
        <v>283</v>
      </c>
    </row>
    <row r="3" spans="1:1" x14ac:dyDescent="0.25">
      <c r="A3" t="s">
        <v>283</v>
      </c>
    </row>
    <row r="4" spans="1:1" x14ac:dyDescent="0.25">
      <c r="A4" t="s">
        <v>316</v>
      </c>
    </row>
    <row r="5" spans="1:1" x14ac:dyDescent="0.25">
      <c r="A5" t="s">
        <v>283</v>
      </c>
    </row>
    <row r="6" spans="1:1" x14ac:dyDescent="0.25">
      <c r="A6" t="s">
        <v>283</v>
      </c>
    </row>
    <row r="7" spans="1:1" x14ac:dyDescent="0.25">
      <c r="A7" t="s">
        <v>316</v>
      </c>
    </row>
    <row r="8" spans="1:1" x14ac:dyDescent="0.25">
      <c r="A8" t="s">
        <v>416</v>
      </c>
    </row>
    <row r="9" spans="1:1" x14ac:dyDescent="0.25">
      <c r="A9" t="s">
        <v>316</v>
      </c>
    </row>
    <row r="10" spans="1:1" x14ac:dyDescent="0.25">
      <c r="A10" t="s">
        <v>431</v>
      </c>
    </row>
    <row r="11" spans="1:1" x14ac:dyDescent="0.25">
      <c r="A11" t="s">
        <v>439</v>
      </c>
    </row>
    <row r="12" spans="1:1" x14ac:dyDescent="0.25">
      <c r="A12" t="s">
        <v>449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171</v>
      </c>
    </row>
    <row r="2" spans="1:1" x14ac:dyDescent="0.25">
      <c r="A2" t="s">
        <v>197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autoPageBreaks="0"/>
  </sheetPr>
  <dimension ref="A1:C2"/>
  <sheetViews>
    <sheetView workbookViewId="0"/>
  </sheetViews>
  <sheetFormatPr defaultRowHeight="15" x14ac:dyDescent="0.25"/>
  <cols>
    <col min="1" max="1" width="11.5703125" bestFit="1" customWidth="1"/>
    <col min="2" max="2" width="12.5703125" bestFit="1" customWidth="1"/>
    <col min="3" max="3" width="10.42578125" bestFit="1" customWidth="1"/>
  </cols>
  <sheetData>
    <row r="1" spans="1:3" x14ac:dyDescent="0.25">
      <c r="A1" t="s">
        <v>645</v>
      </c>
      <c r="B1" t="s">
        <v>644</v>
      </c>
      <c r="C1" t="s">
        <v>646</v>
      </c>
    </row>
    <row r="2" spans="1:3" x14ac:dyDescent="0.25">
      <c r="A2" s="1">
        <v>45849</v>
      </c>
      <c r="B2">
        <v>1402</v>
      </c>
      <c r="C2" t="s">
        <v>180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169</v>
      </c>
    </row>
    <row r="2" spans="1:1" x14ac:dyDescent="0.25">
      <c r="A2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autoPageBreaks="0"/>
  </sheetPr>
  <dimension ref="A1:G2"/>
  <sheetViews>
    <sheetView workbookViewId="0">
      <selection activeCell="J32" sqref="J32"/>
    </sheetView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34.8554687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155</v>
      </c>
      <c r="B1" t="s">
        <v>866</v>
      </c>
      <c r="C1" t="s">
        <v>154</v>
      </c>
      <c r="D1" t="s">
        <v>163</v>
      </c>
      <c r="E1" t="s">
        <v>868</v>
      </c>
      <c r="F1" t="s">
        <v>169</v>
      </c>
      <c r="G1" t="s">
        <v>853</v>
      </c>
    </row>
    <row r="2" spans="1:7" x14ac:dyDescent="0.25">
      <c r="A2" t="s">
        <v>183</v>
      </c>
      <c r="B2" t="s">
        <v>187</v>
      </c>
      <c r="C2" s="1">
        <v>45849</v>
      </c>
      <c r="D2">
        <v>1</v>
      </c>
      <c r="E2" t="s">
        <v>869</v>
      </c>
      <c r="F2" s="5" t="s">
        <v>872</v>
      </c>
      <c r="G2">
        <v>26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Tables</vt:lpstr>
      <vt:lpstr>AB_PendingBillsCreation</vt:lpstr>
      <vt:lpstr>AB_PendingBills$able0</vt:lpstr>
      <vt:lpstr>AB_PendingBillsSetoff</vt:lpstr>
      <vt:lpstr>AB_PendingBills$able1</vt:lpstr>
      <vt:lpstr>AB2_Payments_BankDetails</vt:lpstr>
      <vt:lpstr>AB2_Payments_CashDetails</vt:lpstr>
      <vt:lpstr>AB2_Payments_ChargesDetails</vt:lpstr>
      <vt:lpstr>AB2_Payments_ChequeDetails</vt:lpstr>
      <vt:lpstr>AB2_Payments_PDCDetails</vt:lpstr>
      <vt:lpstr>AB2_Payments_PDCWithChequeDate</vt:lpstr>
      <vt:lpstr>AB2_Payments_TCSDetails</vt:lpstr>
      <vt:lpstr>AB2_Sales_Party$ails2</vt:lpstr>
      <vt:lpstr>AB2_Sales_Vouch$ails3</vt:lpstr>
      <vt:lpstr>AB2_SalesReturn$ions4</vt:lpstr>
      <vt:lpstr>AB2_SalesReturn$rges5</vt:lpstr>
      <vt:lpstr>AB2_SalesReturnsDiscountDetails</vt:lpstr>
      <vt:lpstr>AB2_SalesReturn$ails6</vt:lpstr>
      <vt:lpstr>AB2_SalesReturn$ails7</vt:lpstr>
      <vt:lpstr>AC_SalesReturns$mary8</vt:lpstr>
      <vt:lpstr>AccountLedger</vt:lpstr>
      <vt:lpstr>AccountLedger_Helper</vt:lpstr>
      <vt:lpstr>BRS_Transaction$ails9</vt:lpstr>
      <vt:lpstr>FreeStockReceivedDetails</vt:lpstr>
      <vt:lpstr>GST_Outward_EInvoice_Details</vt:lpstr>
      <vt:lpstr>GST_Outward_EInvoice_Summary</vt:lpstr>
      <vt:lpstr>GST_OutwardDetailsForMonthEnd</vt:lpstr>
      <vt:lpstr>GST_OutwardInfo$Ver110</vt:lpstr>
      <vt:lpstr>GST_Party_BillingAddress_Table</vt:lpstr>
      <vt:lpstr>GST_Party_ShippingAddress_Table</vt:lpstr>
      <vt:lpstr>GST_Product_HSNCode</vt:lpstr>
      <vt:lpstr>GST_Purchase_GSTCESS</vt:lpstr>
      <vt:lpstr>GST_Purchase_HeaderDetails</vt:lpstr>
      <vt:lpstr>GST_Purchases_CESSDetails</vt:lpstr>
      <vt:lpstr>GST_Purchases_CGSTDetails</vt:lpstr>
      <vt:lpstr>GST_Purchases_GSTDetails</vt:lpstr>
      <vt:lpstr>GST_Purchases_IGSTDetails</vt:lpstr>
      <vt:lpstr>GST_Purchases_SGSTDetails</vt:lpstr>
      <vt:lpstr>GST_Transaction$Type11</vt:lpstr>
      <vt:lpstr>GST_Transaction$ails12</vt:lpstr>
      <vt:lpstr>ItemSerialNoStockLedger_Table</vt:lpstr>
      <vt:lpstr>ItemStockLedger</vt:lpstr>
      <vt:lpstr>ItemStockLedger_Helper</vt:lpstr>
      <vt:lpstr>ItemStockValuation</vt:lpstr>
      <vt:lpstr>PendingItemsTab$ssed13</vt:lpstr>
      <vt:lpstr>PendingItemsTab$d_V114</vt:lpstr>
      <vt:lpstr>Shared_Collections_Cash_Table</vt:lpstr>
      <vt:lpstr>Shared_Collecti$able15</vt:lpstr>
      <vt:lpstr>Shared_Collections_PDC_Table</vt:lpstr>
      <vt:lpstr>Shared_Collecti$able16</vt:lpstr>
      <vt:lpstr>Shared_SalesInv$able17</vt:lpstr>
      <vt:lpstr>Shared_SalesInvoice_Items_Table</vt:lpstr>
      <vt:lpstr>Shared_SalesInv$able18</vt:lpstr>
      <vt:lpstr>Shared_SalesInv$able19</vt:lpstr>
      <vt:lpstr>Transaction_Bod$able20</vt:lpstr>
      <vt:lpstr>Transaction_Bod$able21</vt:lpstr>
      <vt:lpstr>Transaction_Bod$able22</vt:lpstr>
      <vt:lpstr>Transaction_Bod$able23</vt:lpstr>
      <vt:lpstr>Transaction_Bod$able24</vt:lpstr>
      <vt:lpstr>Transaction_Bod$able25</vt:lpstr>
      <vt:lpstr>Transaction_Bod$able26</vt:lpstr>
      <vt:lpstr>Transaction_Bod$able27</vt:lpstr>
      <vt:lpstr>Transaction_CostCentre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Transaction_Hea$able28</vt:lpstr>
      <vt:lpstr>Transaction_Hea$able29</vt:lpstr>
      <vt:lpstr>Transaction_Hea$able30</vt:lpstr>
      <vt:lpstr>Transaction_Hea$able31</vt:lpstr>
      <vt:lpstr>Transaction_Hea$able32</vt:lpstr>
      <vt:lpstr>Transaction_Hea$able33</vt:lpstr>
      <vt:lpstr>Transaction_Hea$able34</vt:lpstr>
      <vt:lpstr>Transaction_Hea$able35</vt:lpstr>
      <vt:lpstr>Transaction_Hea$able36</vt:lpstr>
      <vt:lpstr>Transaction_Header_PartyAccount</vt:lpstr>
      <vt:lpstr>Transaction_LineComments_Table</vt:lpstr>
      <vt:lpstr>Transaction_Location_Table</vt:lpstr>
      <vt:lpstr>Transaction_LRDetails</vt:lpstr>
      <vt:lpstr>Transaction_OtherInfo_Table</vt:lpstr>
      <vt:lpstr>Transaction_ProfitCentre</vt:lpstr>
      <vt:lpstr>Transaction_Project</vt:lpstr>
      <vt:lpstr>Transaction_Ref$ails37</vt:lpstr>
      <vt:lpstr>Transaction_Remarks</vt:lpstr>
      <vt:lpstr>Transaction_Seg$able38</vt:lpstr>
      <vt:lpstr>Transaction_TermsAndConditions</vt:lpstr>
      <vt:lpstr>Transaction_VoucherType_Table</vt:lpstr>
      <vt:lpstr>V19_CreditNoteO$ails39</vt:lpstr>
      <vt:lpstr>V19_Transaction$List40</vt:lpstr>
      <vt:lpstr>V19_Transaction$Ver141</vt:lpstr>
      <vt:lpstr>V19_Transaction_TaxStructure</vt:lpstr>
      <vt:lpstr>V19_Transaction$Type42</vt:lpstr>
      <vt:lpstr>V22_InvoiceValu$ails43</vt:lpstr>
      <vt:lpstr>V22_Trans_Heade$Type44</vt:lpstr>
      <vt:lpstr>V22_Transaction$ails45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2025-07-17T06:18:49Z</dcterms:created>
  <dcterms:modified xsi:type="dcterms:W3CDTF">2025-09-13T11:24:46Z</dcterms:modified>
</cp:coreProperties>
</file>
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Automation\src\main\resources\menuItems\Sales\Transactions\"/>
    </mc:Choice>
  </mc:AlternateContent>
  <xr:revisionPtr revIDLastSave="0" documentId="13_ncr:1_{77185577-FD6D-4B2D-A660-5EAA1B260204}" xr6:coauthVersionLast="36" xr6:coauthVersionMax="36" xr10:uidLastSave="{00000000-0000-0000-0000-000000000000}"/>
  <bookViews>
    <workbookView xWindow="32760" yWindow="32760" windowWidth="32760" windowHeight="32760" tabRatio="938" activeTab="2" xr2:uid="{00000000-000D-0000-FFFF-FFFF00000000}"/>
  </bookViews>
  <sheets>
    <sheet name="Tables" sheetId="1" r:id="rId1"/>
    <sheet name="GeneralInformation" sheetId="2" r:id="rId2"/>
    <sheet name="Items" sheetId="3" r:id="rId3"/>
    <sheet name="ChargesAndDeductions" sheetId="4" r:id="rId4"/>
    <sheet name="OtherCharges" sheetId="5" r:id="rId5"/>
    <sheet name="CGST" sheetId="6" r:id="rId6"/>
    <sheet name="SGST" sheetId="7" r:id="rId7"/>
    <sheet name="IGST" sheetId="8" r:id="rId8"/>
    <sheet name="CESS" sheetId="9" r:id="rId9"/>
    <sheet name="TCS" sheetId="10" r:id="rId10"/>
    <sheet name="BillsReceivable" sheetId="11" r:id="rId11"/>
    <sheet name="Cash" sheetId="12" r:id="rId12"/>
    <sheet name="Cheques" sheetId="13" r:id="rId13"/>
    <sheet name="PostDatedCheques" sheetId="14" r:id="rId14"/>
    <sheet name="PDC" sheetId="15" r:id="rId15"/>
    <sheet name="EInvoiceDetails" sheetId="16" r:id="rId16"/>
    <sheet name="InvoiceDetails" sheetId="17" r:id="rId17"/>
    <sheet name="OtherInfo" sheetId="18" r:id="rId18"/>
    <sheet name="AdditionalInformation" sheetId="19" r:id="rId19"/>
    <sheet name="Summary" sheetId="20" r:id="rId20"/>
    <sheet name="BillingAddress" sheetId="21" r:id="rId21"/>
    <sheet name="ShippingAddress" sheetId="22" r:id="rId22"/>
    <sheet name="TermsAndConditions" sheetId="23" r:id="rId23"/>
  </sheets>
  <calcPr calcId="191029"/>
</workbook>
</file>

<file path=xl/calcChain.xml><?xml version="1.0" encoding="utf-8"?>
<calcChain xmlns="http://schemas.openxmlformats.org/spreadsheetml/2006/main">
  <c r="AZ18" i="3" l="1"/>
  <c r="AY18" i="3"/>
  <c r="AX18" i="3"/>
  <c r="AW18" i="3"/>
  <c r="K15" i="4"/>
  <c r="I15" i="4"/>
  <c r="H15" i="4"/>
  <c r="E15" i="4"/>
  <c r="E9" i="4"/>
  <c r="H9" i="4"/>
  <c r="I9" i="4" s="1"/>
  <c r="AS18" i="3"/>
  <c r="AM15" i="3"/>
  <c r="AM14" i="3"/>
  <c r="AM13" i="3"/>
  <c r="AJ15" i="3"/>
  <c r="AJ14" i="3"/>
  <c r="AJ13" i="3"/>
  <c r="AE15" i="3"/>
  <c r="BB18" i="3"/>
  <c r="BA18" i="3"/>
  <c r="AU18" i="3"/>
  <c r="AP18" i="3"/>
  <c r="AM18" i="3"/>
  <c r="AJ18" i="3"/>
  <c r="AG18" i="3"/>
  <c r="AE18" i="3"/>
  <c r="AA18" i="3"/>
  <c r="AA15" i="3"/>
  <c r="AG15" i="3" s="1"/>
  <c r="AA14" i="3"/>
  <c r="AA13" i="3"/>
  <c r="AG13" i="3" s="1"/>
  <c r="AA12" i="3"/>
  <c r="AE12" i="3" s="1"/>
  <c r="AA11" i="3"/>
  <c r="AA10" i="3"/>
  <c r="AG10" i="3" s="1"/>
  <c r="AP14" i="3" l="1"/>
  <c r="AU15" i="3"/>
  <c r="AS15" i="3"/>
  <c r="AP10" i="3"/>
  <c r="AG11" i="3"/>
  <c r="AP15" i="3"/>
  <c r="AE10" i="3"/>
  <c r="AG12" i="3"/>
  <c r="AJ12" i="3" s="1"/>
  <c r="AM10" i="3"/>
  <c r="AU10" i="3"/>
  <c r="AE11" i="3"/>
  <c r="AJ10" i="3"/>
  <c r="AG14" i="3"/>
  <c r="AG17" i="3" s="1"/>
  <c r="AJ11" i="3"/>
  <c r="AM11" i="3"/>
  <c r="AP11" i="3" s="1"/>
  <c r="AE14" i="3"/>
  <c r="AA17" i="3"/>
  <c r="AP13" i="3"/>
  <c r="AE13" i="3"/>
  <c r="AM17" i="3" l="1"/>
  <c r="AJ17" i="3"/>
  <c r="AU11" i="3"/>
  <c r="BA10" i="3"/>
  <c r="BB10" i="3"/>
  <c r="AS10" i="3"/>
  <c r="BA15" i="3"/>
  <c r="BB15" i="3"/>
  <c r="AP12" i="3"/>
  <c r="AP17" i="3" s="1"/>
  <c r="AS11" i="3"/>
  <c r="AM12" i="3"/>
  <c r="AS12" i="3" s="1"/>
  <c r="AU14" i="3"/>
  <c r="AS14" i="3"/>
  <c r="AS13" i="3"/>
  <c r="AU13" i="3"/>
  <c r="AE17" i="3"/>
  <c r="AU12" i="3" l="1"/>
  <c r="BA11" i="3"/>
  <c r="BB11" i="3" s="1"/>
  <c r="AS17" i="3"/>
  <c r="BA14" i="3"/>
  <c r="BB14" i="3" s="1"/>
  <c r="AU17" i="3"/>
  <c r="BA13" i="3"/>
  <c r="BB12" i="3" l="1"/>
  <c r="BA12" i="3"/>
  <c r="BA17" i="3"/>
  <c r="BB13" i="3"/>
  <c r="E10" i="4"/>
  <c r="H10" i="4" s="1"/>
  <c r="K10" i="4" s="1"/>
  <c r="E8" i="4"/>
  <c r="BB17" i="3" l="1"/>
  <c r="E11" i="4" s="1"/>
  <c r="H11" i="4" s="1"/>
  <c r="K11" i="4" s="1"/>
  <c r="H8" i="4"/>
  <c r="E12" i="4" l="1"/>
  <c r="H12" i="4" s="1"/>
  <c r="K12" i="4" s="1"/>
  <c r="K14" i="4" s="1"/>
  <c r="I8" i="4"/>
  <c r="I14" i="4" s="1"/>
  <c r="H14" i="4"/>
  <c r="E14" i="4"/>
</calcChain>
</file>

<file path=xl/sharedStrings.xml><?xml version="1.0" encoding="utf-8"?>
<sst xmlns="http://schemas.openxmlformats.org/spreadsheetml/2006/main" count="1292" uniqueCount="619">
  <si>
    <t>TableNames</t>
  </si>
  <si>
    <t>SheetNames</t>
  </si>
  <si>
    <t>VirtualNames</t>
  </si>
  <si>
    <t>GeneralInformation</t>
  </si>
  <si>
    <t>Items</t>
  </si>
  <si>
    <t>ChargesAndDeductions</t>
  </si>
  <si>
    <t>OtherCharges</t>
  </si>
  <si>
    <t>CGST</t>
  </si>
  <si>
    <t>SGST</t>
  </si>
  <si>
    <t>IGST</t>
  </si>
  <si>
    <t>CESS</t>
  </si>
  <si>
    <t>TCS</t>
  </si>
  <si>
    <t>BillsReceivable</t>
  </si>
  <si>
    <t>Cash</t>
  </si>
  <si>
    <t>Cheques</t>
  </si>
  <si>
    <t>PostDatedCheques</t>
  </si>
  <si>
    <t>PDC</t>
  </si>
  <si>
    <t>EInvoiceDetails</t>
  </si>
  <si>
    <t>InvoiceDetails</t>
  </si>
  <si>
    <t>OtherInfo</t>
  </si>
  <si>
    <t>AdditionalInformation</t>
  </si>
  <si>
    <t>Summary</t>
  </si>
  <si>
    <t>BillingAddress</t>
  </si>
  <si>
    <t>ShippingAddress</t>
  </si>
  <si>
    <t>TermsAndConditions</t>
  </si>
  <si>
    <t>VoucherType</t>
  </si>
  <si>
    <t>Date</t>
  </si>
  <si>
    <t>Branch</t>
  </si>
  <si>
    <t>Location</t>
  </si>
  <si>
    <t>TransactionCurrency</t>
  </si>
  <si>
    <t>RegistrationType</t>
  </si>
  <si>
    <t>StateCode</t>
  </si>
  <si>
    <t>State</t>
  </si>
  <si>
    <t>ExchangeRate</t>
  </si>
  <si>
    <t>SalesInvoiceNo</t>
  </si>
  <si>
    <t>PartyAccount</t>
  </si>
  <si>
    <t>PlaceOfSupply</t>
  </si>
  <si>
    <t>GSTTransactionType</t>
  </si>
  <si>
    <t>SalesReturnsAccountCode</t>
  </si>
  <si>
    <t>SalesReturnsAccount</t>
  </si>
  <si>
    <t>TaxTransactionType</t>
  </si>
  <si>
    <t>ApplyTCS</t>
  </si>
  <si>
    <t>TCSTransactionNature</t>
  </si>
  <si>
    <t>PriceList</t>
  </si>
  <si>
    <t>VoucherDiscountPercentage</t>
  </si>
  <si>
    <t>Executive</t>
  </si>
  <si>
    <t>Division</t>
  </si>
  <si>
    <t>ShippingAddressisDifferentfromBillingAddress</t>
  </si>
  <si>
    <t>Remarks</t>
  </si>
  <si>
    <t/>
  </si>
  <si>
    <t>AT_SRTWIF</t>
  </si>
  <si>
    <t>AT_Branch 1_Reg</t>
  </si>
  <si>
    <t>AT_Branch 1_Location 1</t>
  </si>
  <si>
    <t>1</t>
  </si>
  <si>
    <t>INR</t>
  </si>
  <si>
    <t xml:space="preserve">36              </t>
  </si>
  <si>
    <t>Telangana</t>
  </si>
  <si>
    <t>0</t>
  </si>
  <si>
    <t>SI1 1</t>
  </si>
  <si>
    <t>At_Cus_Reg_Intra</t>
  </si>
  <si>
    <t>Intra State</t>
  </si>
  <si>
    <t>Intra State Sales Returns from Registered Dealers</t>
  </si>
  <si>
    <t>AT_Sales Return  Acc 1</t>
  </si>
  <si>
    <t>Tax Collected</t>
  </si>
  <si>
    <t>AT_TCS Transaction Nature 1</t>
  </si>
  <si>
    <t>AT_Exclusive Sales Price List 1</t>
  </si>
  <si>
    <t>AT_Executive 2</t>
  </si>
  <si>
    <t>24D Books Fin AT</t>
  </si>
  <si>
    <t>PVREM1</t>
  </si>
  <si>
    <t>TowardsVNoDate</t>
  </si>
  <si>
    <t>ProductCode</t>
  </si>
  <si>
    <t>Product</t>
  </si>
  <si>
    <t>HSNCode</t>
  </si>
  <si>
    <t>GoodsOrServices</t>
  </si>
  <si>
    <t>IsBatch</t>
  </si>
  <si>
    <t>IsSerialNo</t>
  </si>
  <si>
    <t>ProductBatch</t>
  </si>
  <si>
    <t>SerialNo</t>
  </si>
  <si>
    <t>SKU</t>
  </si>
  <si>
    <t>UOM</t>
  </si>
  <si>
    <t>ConversionFactor</t>
  </si>
  <si>
    <t>StorageBin</t>
  </si>
  <si>
    <t>PendingQuantity</t>
  </si>
  <si>
    <t>PendingQuantityInSKU</t>
  </si>
  <si>
    <t>Quantity</t>
  </si>
  <si>
    <t>QuantityInSKU</t>
  </si>
  <si>
    <t>FreeQuantity</t>
  </si>
  <si>
    <t>MRP</t>
  </si>
  <si>
    <t>MRPAmount</t>
  </si>
  <si>
    <t>UnitRate</t>
  </si>
  <si>
    <t>GrossAmount</t>
  </si>
  <si>
    <t>VoucherDiscount</t>
  </si>
  <si>
    <t>PartyDiscountPercentage</t>
  </si>
  <si>
    <t>PartyDiscount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</si>
  <si>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</si>
  <si>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</si>
  <si>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</si>
  <si>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</si>
  <si>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</si>
  <si>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</si>
  <si>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</si>
  <si>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</si>
  <si>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</si>
  <si>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InclusiveTax</t>
  </si>
  <si>
    <t>GrossMinusDiscount</t>
  </si>
  <si>
    <t>HSN</t>
  </si>
  <si>
    <t>GSTProductCategory</t>
  </si>
  <si>
    <t>CESSProductCategory</t>
  </si>
  <si>
    <t>GSTAssessableValue</t>
  </si>
  <si>
    <t>GSTPercentage</t>
  </si>
  <si>
    <t>GSTAmount</t>
  </si>
  <si>
    <t>TaxAdjustment</t>
  </si>
  <si>
    <t>NetAmount</t>
  </si>
  <si>
    <t>NetAmountInCompanyCurrency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</si>
  <si>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</si>
  <si>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</si>
  <si>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</si>
  <si>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</si>
  <si>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</si>
  <si>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</si>
  <si>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</si>
  <si>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</si>
  <si>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</si>
  <si>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</si>
  <si>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</si>
  <si>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</si>
  <si>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</si>
  <si>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</si>
  <si>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</si>
  <si>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</si>
  <si>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</si>
  <si>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</si>
  <si>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</si>
  <si>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</si>
  <si>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</si>
  <si>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P1</t>
  </si>
  <si>
    <t>AT_Product 1</t>
  </si>
  <si>
    <t xml:space="preserve">8967            </t>
  </si>
  <si>
    <t>G</t>
  </si>
  <si>
    <t xml:space="preserve">                                </t>
  </si>
  <si>
    <t>AT_Sales Return  Acc 2</t>
  </si>
  <si>
    <t>Nos</t>
  </si>
  <si>
    <t>AT_Branch 1_Location 1 Default Bin</t>
  </si>
  <si>
    <t>% on Gross</t>
  </si>
  <si>
    <t>AT_HSN Code 1</t>
  </si>
  <si>
    <t>GST 12%</t>
  </si>
  <si>
    <t>CESS 1%</t>
  </si>
  <si>
    <t>AT_Department 1</t>
  </si>
  <si>
    <t>AT_Project 1</t>
  </si>
  <si>
    <t>AT_Profit Center 1</t>
  </si>
  <si>
    <t>AT_Cost Center 1</t>
  </si>
  <si>
    <t>PVICMNTS1</t>
  </si>
  <si>
    <t>INF1</t>
  </si>
  <si>
    <t>INF7</t>
  </si>
  <si>
    <t>INF13</t>
  </si>
  <si>
    <t>INF19</t>
  </si>
  <si>
    <t>INF25</t>
  </si>
  <si>
    <t>P2</t>
  </si>
  <si>
    <t>AT_Product 2</t>
  </si>
  <si>
    <t>AT_Sales Return  Acc 3</t>
  </si>
  <si>
    <t>% on Gross-Disc1</t>
  </si>
  <si>
    <t>AT_Department 2</t>
  </si>
  <si>
    <t>AT_Project 2</t>
  </si>
  <si>
    <t>AT_Profit Center 2</t>
  </si>
  <si>
    <t>AT_Cost Center 2</t>
  </si>
  <si>
    <t>PVICMNTS2</t>
  </si>
  <si>
    <t>INF2</t>
  </si>
  <si>
    <t>INF8</t>
  </si>
  <si>
    <t>INF14</t>
  </si>
  <si>
    <t>INF20</t>
  </si>
  <si>
    <t>INF26</t>
  </si>
  <si>
    <t>1254</t>
  </si>
  <si>
    <t>AT_Product 5</t>
  </si>
  <si>
    <t xml:space="preserve">7777            </t>
  </si>
  <si>
    <t>AT_Sales Return  Acc 4</t>
  </si>
  <si>
    <t>% on Gross - Voucher Disc - Party Disc</t>
  </si>
  <si>
    <t>% on Gross-Disc1-V Disc-P Disc</t>
  </si>
  <si>
    <t>AT_HSN Code 2</t>
  </si>
  <si>
    <t>GST 18%</t>
  </si>
  <si>
    <t>CESS 10%</t>
  </si>
  <si>
    <t>AT_Department 3</t>
  </si>
  <si>
    <t>AT_Project 3</t>
  </si>
  <si>
    <t>AT_Profit Center 3</t>
  </si>
  <si>
    <t>AT_Cost Center 3</t>
  </si>
  <si>
    <t>PVICMNTS3</t>
  </si>
  <si>
    <t>INF3</t>
  </si>
  <si>
    <t>INF9</t>
  </si>
  <si>
    <t>INF15</t>
  </si>
  <si>
    <t>INF21</t>
  </si>
  <si>
    <t>INF27</t>
  </si>
  <si>
    <t>PSN3</t>
  </si>
  <si>
    <t>AT_Product With SN 3</t>
  </si>
  <si>
    <t>AT_Product With SN 3,202541</t>
  </si>
  <si>
    <t xml:space="preserve">QWERTY281                       </t>
  </si>
  <si>
    <t>AT_Sales Return  Acc 5</t>
  </si>
  <si>
    <t>Per Quantity</t>
  </si>
  <si>
    <t>% on Gross-Disc1&amp;Disc2</t>
  </si>
  <si>
    <t>AT_Department 4</t>
  </si>
  <si>
    <t>AT_Project 4</t>
  </si>
  <si>
    <t>AT_Profit Center 4</t>
  </si>
  <si>
    <t>AT_Cost Center 4</t>
  </si>
  <si>
    <t>PVICMNTS4</t>
  </si>
  <si>
    <t>INF4</t>
  </si>
  <si>
    <t>INF10</t>
  </si>
  <si>
    <t>INF16</t>
  </si>
  <si>
    <t>INF22</t>
  </si>
  <si>
    <t>INF28</t>
  </si>
  <si>
    <t xml:space="preserve">QWERTY494                       </t>
  </si>
  <si>
    <t>PVICMNTS5</t>
  </si>
  <si>
    <t>INF5</t>
  </si>
  <si>
    <t>INF11</t>
  </si>
  <si>
    <t>INF17</t>
  </si>
  <si>
    <t>INF23</t>
  </si>
  <si>
    <t>INF29</t>
  </si>
  <si>
    <t>MBP4</t>
  </si>
  <si>
    <t>AT_Multi batch product 4</t>
  </si>
  <si>
    <t>AT_Multi batch product 4,202541</t>
  </si>
  <si>
    <t>Value</t>
  </si>
  <si>
    <t>% on Gross-Disc2</t>
  </si>
  <si>
    <t>AT_Department 5</t>
  </si>
  <si>
    <t>AT_Project 5</t>
  </si>
  <si>
    <t>AT_Profit Center 5</t>
  </si>
  <si>
    <t>AT_Cost Center 5</t>
  </si>
  <si>
    <t>PVICMNTS6</t>
  </si>
  <si>
    <t>INF6</t>
  </si>
  <si>
    <t>INF12</t>
  </si>
  <si>
    <t>INF18</t>
  </si>
  <si>
    <t>INF24</t>
  </si>
  <si>
    <t>INF30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</si>
  <si>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</si>
  <si>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</si>
  <si>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</si>
  <si>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</si>
  <si>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</si>
  <si>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</si>
  <si>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</si>
  <si>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</si>
  <si>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</si>
  <si>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ChargesInCompanyCurrency</t>
  </si>
  <si>
    <t>Deductions</t>
  </si>
  <si>
    <t>DeductionsInCompanyCurrency</t>
  </si>
  <si>
    <t>AT_Charges  Acc 1</t>
  </si>
  <si>
    <t>Gross Minus Disc</t>
  </si>
  <si>
    <t>Department 11</t>
  </si>
  <si>
    <t>Projects 11</t>
  </si>
  <si>
    <t>Profit Centre 11</t>
  </si>
  <si>
    <t>Cost Centre 11</t>
  </si>
  <si>
    <t>PVCDCMNTS1</t>
  </si>
  <si>
    <t>AT_Charges  Acc 2</t>
  </si>
  <si>
    <t>Gross Amt</t>
  </si>
  <si>
    <t>Department 14</t>
  </si>
  <si>
    <t>Projects 14</t>
  </si>
  <si>
    <t>Profit Centre 14</t>
  </si>
  <si>
    <t>Cost Centre 14</t>
  </si>
  <si>
    <t>PVCDCMNTS2</t>
  </si>
  <si>
    <t>AT_Deductions  Acc 1</t>
  </si>
  <si>
    <t>Department 13</t>
  </si>
  <si>
    <t>Projects 13</t>
  </si>
  <si>
    <t>Profit Centre 13</t>
  </si>
  <si>
    <t>Cost Centre 13</t>
  </si>
  <si>
    <t>PVCDCMNTS3</t>
  </si>
  <si>
    <t>AT_Deductions  Acc 2</t>
  </si>
  <si>
    <t>Net Amt</t>
  </si>
  <si>
    <t>Department 12</t>
  </si>
  <si>
    <t>Projects 12</t>
  </si>
  <si>
    <t>Profit Centre 12</t>
  </si>
  <si>
    <t>Cost Centre 12</t>
  </si>
  <si>
    <t>PVCDCMNTS4</t>
  </si>
  <si>
    <t>AT_Deductions  Acc 3</t>
  </si>
  <si>
    <t>NetAmount Plus Charges Minus Deductions</t>
  </si>
  <si>
    <t>Department 15</t>
  </si>
  <si>
    <t>Projects 15</t>
  </si>
  <si>
    <t>Profit Centre 15</t>
  </si>
  <si>
    <t>Cost Centre 15</t>
  </si>
  <si>
    <t>PVCDCMNTS5</t>
  </si>
  <si>
    <t>AmountInCompanyCurrency</t>
  </si>
  <si>
    <t>AT_Charges  Acc 3</t>
  </si>
  <si>
    <t xml:space="preserve">1111            </t>
  </si>
  <si>
    <t>S</t>
  </si>
  <si>
    <t>AT_HSN Code 3</t>
  </si>
  <si>
    <t>GST 1.5%</t>
  </si>
  <si>
    <t>Department 16</t>
  </si>
  <si>
    <t>Projects 16</t>
  </si>
  <si>
    <t>Profit Centre 16</t>
  </si>
  <si>
    <t>Cost Centre 16</t>
  </si>
  <si>
    <t>PVOCCMNTS1</t>
  </si>
  <si>
    <t>AT_Charges  Acc 7</t>
  </si>
  <si>
    <t>Department 17</t>
  </si>
  <si>
    <t>Projects 17</t>
  </si>
  <si>
    <t>Profit Centre 17</t>
  </si>
  <si>
    <t>Cost Centre 17</t>
  </si>
  <si>
    <t>PVOCCMNTS2</t>
  </si>
  <si>
    <t>AT_Charges  Acc 4</t>
  </si>
  <si>
    <t xml:space="preserve">5689            </t>
  </si>
  <si>
    <t>AT_HSN Code 4</t>
  </si>
  <si>
    <t>Department 18</t>
  </si>
  <si>
    <t>Projects 18</t>
  </si>
  <si>
    <t>Profit Centre 18</t>
  </si>
  <si>
    <t>Cost Centre 18</t>
  </si>
  <si>
    <t>PVOCCMNTS3</t>
  </si>
  <si>
    <t>AT_Charges  Acc 5</t>
  </si>
  <si>
    <t xml:space="preserve">3456            </t>
  </si>
  <si>
    <t>AT_HSN Code 5</t>
  </si>
  <si>
    <t>GST 28%</t>
  </si>
  <si>
    <t>CESS 15%</t>
  </si>
  <si>
    <t>Department 19</t>
  </si>
  <si>
    <t>Projects 19</t>
  </si>
  <si>
    <t>Profit Centre 19</t>
  </si>
  <si>
    <t>Cost Centre 19</t>
  </si>
  <si>
    <t>PVOCCMNTS4</t>
  </si>
  <si>
    <t>AT_Charges  Acc 6</t>
  </si>
  <si>
    <t xml:space="preserve">8764            </t>
  </si>
  <si>
    <t>AT_HSN Code 6</t>
  </si>
  <si>
    <t>GST 3%</t>
  </si>
  <si>
    <t>Department 20</t>
  </si>
  <si>
    <t>Projects 20</t>
  </si>
  <si>
    <t>Profit Centre 20</t>
  </si>
  <si>
    <t>Cost Centre 20</t>
  </si>
  <si>
    <t>PVOCCMNTS5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</si>
  <si>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</si>
  <si>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</si>
  <si>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</si>
  <si>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</si>
  <si>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</si>
  <si>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</si>
  <si>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</si>
  <si>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TaxAmountInCompanyCurrency</t>
  </si>
  <si>
    <t>EditableTaxAmount</t>
  </si>
  <si>
    <t>TaxAccount</t>
  </si>
  <si>
    <t>InputCreditAvailable</t>
  </si>
  <si>
    <t>InputCredit</t>
  </si>
  <si>
    <t>InputCreditAmount</t>
  </si>
  <si>
    <t>DeferredCredit</t>
  </si>
  <si>
    <t>DeferredCreditAmount</t>
  </si>
  <si>
    <t>ReverseChargeApplicable</t>
  </si>
  <si>
    <t>ExpenseAccount</t>
  </si>
  <si>
    <t>TaxAmountDue</t>
  </si>
  <si>
    <t>TaxAmountForCosting</t>
  </si>
  <si>
    <t>TaxPendingType</t>
  </si>
  <si>
    <t>Base Tax</t>
  </si>
  <si>
    <t>Gross Amount Minus Discount</t>
  </si>
  <si>
    <t>CGST Output Tax Account</t>
  </si>
  <si>
    <t>SGST Output Tax Account</t>
  </si>
  <si>
    <t>GST Cess Output Tax Account</t>
  </si>
  <si>
    <t>TransactionNature</t>
  </si>
  <si>
    <t>TCSRate</t>
  </si>
  <si>
    <t>TCSAmount</t>
  </si>
  <si>
    <t>TCSAmountInCompanyCurrency</t>
  </si>
  <si>
    <t>TCSAccount</t>
  </si>
  <si>
    <t>AT_TCS Collected Acc 1</t>
  </si>
  <si>
    <t>VoucherIdentityNo</t>
  </si>
  <si>
    <t>VoucherIdentityNo1</t>
  </si>
  <si>
    <t>ReferenceBillDetails</t>
  </si>
  <si>
    <t>DueDate</t>
  </si>
  <si>
    <t>PendingAmount</t>
  </si>
  <si>
    <t>Adjust</t>
  </si>
  <si>
    <t>AmountAdjusted</t>
  </si>
  <si>
    <t>BalanceDue</t>
  </si>
  <si>
    <t>CashAccountCode</t>
  </si>
  <si>
    <t>CashAccount</t>
  </si>
  <si>
    <t>AT_Cash Acc 1</t>
  </si>
  <si>
    <t>Department 31</t>
  </si>
  <si>
    <t>Projects 31</t>
  </si>
  <si>
    <t>Profit Centre 31</t>
  </si>
  <si>
    <t>Cost Centre 31</t>
  </si>
  <si>
    <t>PVCCMNTS1</t>
  </si>
  <si>
    <t>AT_Cash Acc 2</t>
  </si>
  <si>
    <t>Department 32</t>
  </si>
  <si>
    <t>Projects 32</t>
  </si>
  <si>
    <t>Profit Centre 32</t>
  </si>
  <si>
    <t>Cost Centre 32</t>
  </si>
  <si>
    <t>PVCCMNTS2</t>
  </si>
  <si>
    <t>AT_Cash Acc 3</t>
  </si>
  <si>
    <t>Department 33</t>
  </si>
  <si>
    <t>Projects 33</t>
  </si>
  <si>
    <t>Profit Centre 33</t>
  </si>
  <si>
    <t>Cost Centre 33</t>
  </si>
  <si>
    <t>PVCCMNTS3</t>
  </si>
  <si>
    <t>AT_Cash Acc 4</t>
  </si>
  <si>
    <t>Department 34</t>
  </si>
  <si>
    <t>Projects 34</t>
  </si>
  <si>
    <t>Profit Centre 34</t>
  </si>
  <si>
    <t>Cost Centre 34</t>
  </si>
  <si>
    <t>PVCCMNTS4</t>
  </si>
  <si>
    <t>AT_Cash Acc 5</t>
  </si>
  <si>
    <t>Department 35</t>
  </si>
  <si>
    <t>Projects 35</t>
  </si>
  <si>
    <t>Profit Centre 35</t>
  </si>
  <si>
    <t>Cost Centre 35</t>
  </si>
  <si>
    <t>PVCCMNTS5</t>
  </si>
  <si>
    <t>BankAccountCode</t>
  </si>
  <si>
    <t>BankAccount</t>
  </si>
  <si>
    <t>ChequeNo</t>
  </si>
  <si>
    <t>ChequeDate</t>
  </si>
  <si>
    <t>DrawnOnBank</t>
  </si>
  <si>
    <t>ChargesAccountCode</t>
  </si>
  <si>
    <t>ChargesAccount</t>
  </si>
  <si>
    <t>AT_Bank Acc 1</t>
  </si>
  <si>
    <t>1211</t>
  </si>
  <si>
    <t>AT_Charges  Acc 10</t>
  </si>
  <si>
    <t>Department 36</t>
  </si>
  <si>
    <t>Projects 36</t>
  </si>
  <si>
    <t>Profit Centre 36</t>
  </si>
  <si>
    <t>Cost Centre 36</t>
  </si>
  <si>
    <t>PVCHCMNTS1</t>
  </si>
  <si>
    <t>AT_Bank Acc 2</t>
  </si>
  <si>
    <t>1212</t>
  </si>
  <si>
    <t>AT_Charges  Acc 11</t>
  </si>
  <si>
    <t>Department 37</t>
  </si>
  <si>
    <t>Projects 37</t>
  </si>
  <si>
    <t>Profit Centre 37</t>
  </si>
  <si>
    <t>Cost Centre 37</t>
  </si>
  <si>
    <t>PVCHCMNTS2</t>
  </si>
  <si>
    <t>AT_Bank Acc 3</t>
  </si>
  <si>
    <t>1213</t>
  </si>
  <si>
    <t>AT_Charges  Acc 12</t>
  </si>
  <si>
    <t>Department 38</t>
  </si>
  <si>
    <t>Projects 38</t>
  </si>
  <si>
    <t>Profit Centre 38</t>
  </si>
  <si>
    <t>Cost Centre 38</t>
  </si>
  <si>
    <t>PVCHCMNTS3</t>
  </si>
  <si>
    <t>AT_Bank Acc 4</t>
  </si>
  <si>
    <t>1214</t>
  </si>
  <si>
    <t>AT_Charges  Acc 13</t>
  </si>
  <si>
    <t>Department 39</t>
  </si>
  <si>
    <t>Projects 39</t>
  </si>
  <si>
    <t>Profit Centre 39</t>
  </si>
  <si>
    <t>Cost Centre 39</t>
  </si>
  <si>
    <t>PVCHCMNTS4</t>
  </si>
  <si>
    <t>AT_Bank Acc 5</t>
  </si>
  <si>
    <t>1215</t>
  </si>
  <si>
    <t>AT_Charges  Acc 14</t>
  </si>
  <si>
    <t>Department 40</t>
  </si>
  <si>
    <t>Projects 40</t>
  </si>
  <si>
    <t>Profit Centre 40</t>
  </si>
  <si>
    <t>Cost Centre 40</t>
  </si>
  <si>
    <t>PVCHCMNTS5</t>
  </si>
  <si>
    <t>PDCAccount</t>
  </si>
  <si>
    <t>AT_Bank_PDC_Acc 1</t>
  </si>
  <si>
    <t>PDC Account</t>
  </si>
  <si>
    <t>1311</t>
  </si>
  <si>
    <t>Department 41</t>
  </si>
  <si>
    <t>Projects 41</t>
  </si>
  <si>
    <t>Profit Centre 41</t>
  </si>
  <si>
    <t>Cost Centre 41</t>
  </si>
  <si>
    <t>PVPDCCMNT1</t>
  </si>
  <si>
    <t>AT_Bank_PDC_Acc 2</t>
  </si>
  <si>
    <t>1312</t>
  </si>
  <si>
    <t>Department 42</t>
  </si>
  <si>
    <t>Projects 42</t>
  </si>
  <si>
    <t>Profit Centre 42</t>
  </si>
  <si>
    <t>Cost Centre 42</t>
  </si>
  <si>
    <t>PVPDCCMNT2</t>
  </si>
  <si>
    <t>AT_Bank_PDC_Acc 3</t>
  </si>
  <si>
    <t>1313</t>
  </si>
  <si>
    <t>Department 43</t>
  </si>
  <si>
    <t>Projects 43</t>
  </si>
  <si>
    <t>Profit Centre 43</t>
  </si>
  <si>
    <t>Cost Centre 43</t>
  </si>
  <si>
    <t>PVPDCCMNT3</t>
  </si>
  <si>
    <t>AT_Bank_PDC_Acc 4</t>
  </si>
  <si>
    <t>1314</t>
  </si>
  <si>
    <t>Department 44</t>
  </si>
  <si>
    <t>Projects 44</t>
  </si>
  <si>
    <t>Profit Centre 44</t>
  </si>
  <si>
    <t>Cost Centre 44</t>
  </si>
  <si>
    <t>PVPDCCMNT4</t>
  </si>
  <si>
    <t>AT_Bank_PDC_Acc 5</t>
  </si>
  <si>
    <t>1315</t>
  </si>
  <si>
    <t>Department 45</t>
  </si>
  <si>
    <t>Projects 45</t>
  </si>
  <si>
    <t>Profit Centre 45</t>
  </si>
  <si>
    <t>Cost Centre 45</t>
  </si>
  <si>
    <t>PVPDCCMNT5</t>
  </si>
  <si>
    <t>BPDC5</t>
  </si>
  <si>
    <t>1411</t>
  </si>
  <si>
    <t>Department 46</t>
  </si>
  <si>
    <t>Projects 46</t>
  </si>
  <si>
    <t>Profit Centre 46</t>
  </si>
  <si>
    <t>Cost Centre 46</t>
  </si>
  <si>
    <t>BCPDCCMNTS1</t>
  </si>
  <si>
    <t>BPDC6</t>
  </si>
  <si>
    <t>AT_Bank_PDC_Acc 6</t>
  </si>
  <si>
    <t>1412</t>
  </si>
  <si>
    <t>Department 47</t>
  </si>
  <si>
    <t>Projects 47</t>
  </si>
  <si>
    <t>Profit Centre 47</t>
  </si>
  <si>
    <t>Cost Centre 47</t>
  </si>
  <si>
    <t>BCPDCCMNTS2</t>
  </si>
  <si>
    <t>BPDC7</t>
  </si>
  <si>
    <t>AT_Bank_PDC_Acc 7</t>
  </si>
  <si>
    <t>1413</t>
  </si>
  <si>
    <t>Department 48</t>
  </si>
  <si>
    <t>Projects 48</t>
  </si>
  <si>
    <t>Profit Centre 48</t>
  </si>
  <si>
    <t>Cost Centre 48</t>
  </si>
  <si>
    <t>BCPDCCMNTS3</t>
  </si>
  <si>
    <t>BPDC8</t>
  </si>
  <si>
    <t>AT_Bank_PDC_Acc 8</t>
  </si>
  <si>
    <t>1414</t>
  </si>
  <si>
    <t>Department 49</t>
  </si>
  <si>
    <t>Projects 49</t>
  </si>
  <si>
    <t>Profit Centre 49</t>
  </si>
  <si>
    <t>Cost Centre 49</t>
  </si>
  <si>
    <t>BCPDCCMNTS4</t>
  </si>
  <si>
    <t>BPDC9</t>
  </si>
  <si>
    <t>AT_Bank_PDC_Acc 9</t>
  </si>
  <si>
    <t>1415</t>
  </si>
  <si>
    <t>Department 50</t>
  </si>
  <si>
    <t>Projects 50</t>
  </si>
  <si>
    <t>Profit Centre 50</t>
  </si>
  <si>
    <t>Cost Centre 50</t>
  </si>
  <si>
    <t>BCPDCCMNTS5</t>
  </si>
  <si>
    <t>GSTEInvoiceRequired</t>
  </si>
  <si>
    <t>GenerateNow</t>
  </si>
  <si>
    <t>InvoiceValue</t>
  </si>
  <si>
    <t>InvoiceDate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</si>
  <si>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</si>
  <si>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</si>
  <si>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</si>
  <si>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</si>
  <si>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</si>
  <si>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</si>
  <si>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</si>
  <si>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</si>
  <si>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</si>
  <si>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</si>
  <si>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</si>
  <si>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</si>
  <si>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</si>
  <si>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</si>
  <si>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</si>
  <si>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</si>
  <si>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</si>
  <si>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</si>
  <si>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FreeQuantityInSKU</t>
  </si>
  <si>
    <t>Discount</t>
  </si>
  <si>
    <t>NetAmountAfterCharges</t>
  </si>
  <si>
    <t>NetAmountAfterDeductions</t>
  </si>
  <si>
    <t>NetAmountAfterOtherCharges</t>
  </si>
  <si>
    <t>OtherChargesCGST</t>
  </si>
  <si>
    <t>OtherChargesSGST</t>
  </si>
  <si>
    <t>OtherChargesIGST</t>
  </si>
  <si>
    <t>OtherChargesCESS</t>
  </si>
  <si>
    <t>OtherChargesGST</t>
  </si>
  <si>
    <t>NetAmountAfterOtherChargesTaxAmount</t>
  </si>
  <si>
    <t>TCSTaxableValue1</t>
  </si>
  <si>
    <t>TCSTaxaablevalue2</t>
  </si>
  <si>
    <t>TCSTaxablevalue</t>
  </si>
  <si>
    <t>EditTCSTaxableValue</t>
  </si>
  <si>
    <t>NetAmountAfterTCS</t>
  </si>
  <si>
    <t>RoundOffType</t>
  </si>
  <si>
    <t>RoundOffAccount</t>
  </si>
  <si>
    <t>RoundOffAmount</t>
  </si>
  <si>
    <t>RoundOffDebit</t>
  </si>
  <si>
    <t>RoundOffDebitInCompanyCurrency</t>
  </si>
  <si>
    <t>RoundOffCredit</t>
  </si>
  <si>
    <t>RoundOffCreditInCompanyCurrency</t>
  </si>
  <si>
    <t>TotalValue</t>
  </si>
  <si>
    <t>TotalValueInCompanyCurrency</t>
  </si>
  <si>
    <t>BillsAdjusted</t>
  </si>
  <si>
    <t>NetAmountAfterBillsAdjusted</t>
  </si>
  <si>
    <t>TotalPostDatedCheques</t>
  </si>
  <si>
    <t>PaymentValue</t>
  </si>
  <si>
    <t>NetAmountAfterPayment</t>
  </si>
  <si>
    <t>PayableAmount</t>
  </si>
  <si>
    <t>ReceivableAmount</t>
  </si>
  <si>
    <t>TotalChargesByValue</t>
  </si>
  <si>
    <t>TotalChargesByQty</t>
  </si>
  <si>
    <t>TotalDeductionsByValue</t>
  </si>
  <si>
    <t>TotalDeductionsByQty</t>
  </si>
  <si>
    <t>TaxAdjustment1</t>
  </si>
  <si>
    <t>TaxAdjustment2</t>
  </si>
  <si>
    <t>GSTAssessableValue1</t>
  </si>
  <si>
    <t>GSTAssessableValue2</t>
  </si>
  <si>
    <t>Round Off Account</t>
  </si>
  <si>
    <t>GSTIN</t>
  </si>
  <si>
    <t>Address1</t>
  </si>
  <si>
    <t>Address2</t>
  </si>
  <si>
    <t>Address3</t>
  </si>
  <si>
    <t>City</t>
  </si>
  <si>
    <t>Country</t>
  </si>
  <si>
    <t>Zip</t>
  </si>
  <si>
    <t>TelephoneNo</t>
  </si>
  <si>
    <t>MobileNo</t>
  </si>
  <si>
    <t xml:space="preserve">36AAFCB7707D1ZV </t>
  </si>
  <si>
    <t>,Plot No 11, 4th Floor</t>
  </si>
  <si>
    <t>Hyderabad</t>
  </si>
  <si>
    <t>Yashshree Tech Park, HITEC City, Hyderabad, Telangana</t>
  </si>
  <si>
    <t>India</t>
  </si>
  <si>
    <t>500081</t>
  </si>
  <si>
    <t>040-2894-5896</t>
  </si>
  <si>
    <t>9755884123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</si>
  <si>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</si>
  <si>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</si>
  <si>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</si>
  <si>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</si>
  <si>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</si>
  <si>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</si>
  <si>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</si>
  <si>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</si>
  <si>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</si>
  <si>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</si>
  <si>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</si>
  <si>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</si>
  <si>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</si>
  <si>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</si>
  <si>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</si>
  <si>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</si>
  <si>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</si>
  <si>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PendingFreeQuantity</t>
  </si>
  <si>
    <t>PendingFreeQuantityInSKU</t>
  </si>
  <si>
    <t>Cost Of Goods Sold</t>
  </si>
  <si>
    <t>Cost Of Goods Sold per Unit</t>
  </si>
  <si>
    <t>ī</t>
  </si>
  <si>
    <t>MasterType</t>
  </si>
  <si>
    <t>Products</t>
  </si>
  <si>
    <t>Products - Batches and Serial No</t>
  </si>
  <si>
    <t>Products - MultiBatch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</si>
</sst>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2" fontId="0" fillId="2" borderId="0" xfId="0" applyNumberFormat="1" applyFill="1"/>
    <xf numFmtId="2" fontId="0" fillId="4" borderId="0" xfId="0" applyNumberFormat="1" applyFill="1"/>
    <xf numFmtId="0" fontId="0" fillId="0" borderId="0" xfId="0" applyAlignment="1">
      <alignment horizontal="left"/>
    </xf>
    <xf numFmtId="0" fontId="0" fillId="5" borderId="0" xfId="0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23"/>
  <sheetViews>
    <sheetView workbookViewId="0"/>
  </sheetViews>
  <sheetFormatPr defaultRowHeight="15" x14ac:dyDescent="0.25"/>
  <cols>
    <col min="1" max="3" width="2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4</v>
      </c>
      <c r="C3" t="s">
        <v>4</v>
      </c>
    </row>
    <row r="4" spans="1:3" x14ac:dyDescent="0.25">
      <c r="A4" t="s">
        <v>5</v>
      </c>
      <c r="B4" t="s">
        <v>5</v>
      </c>
      <c r="C4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11</v>
      </c>
      <c r="C10" t="s">
        <v>11</v>
      </c>
    </row>
    <row r="11" spans="1:3" x14ac:dyDescent="0.25">
      <c r="A11" t="s">
        <v>12</v>
      </c>
      <c r="B11" t="s">
        <v>12</v>
      </c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  <row r="15" spans="1:3" x14ac:dyDescent="0.25">
      <c r="A15" t="s">
        <v>16</v>
      </c>
      <c r="B15" t="s">
        <v>16</v>
      </c>
      <c r="C15" t="s">
        <v>16</v>
      </c>
    </row>
    <row r="16" spans="1:3" x14ac:dyDescent="0.25">
      <c r="A16" t="s">
        <v>17</v>
      </c>
      <c r="B16" t="s">
        <v>17</v>
      </c>
      <c r="C16" t="s">
        <v>17</v>
      </c>
    </row>
    <row r="17" spans="1:3" x14ac:dyDescent="0.25">
      <c r="A17" t="s">
        <v>18</v>
      </c>
      <c r="B17" t="s">
        <v>18</v>
      </c>
      <c r="C17" t="s">
        <v>18</v>
      </c>
    </row>
    <row r="18" spans="1:3" x14ac:dyDescent="0.25">
      <c r="A18" t="s">
        <v>19</v>
      </c>
      <c r="B18" t="s">
        <v>19</v>
      </c>
      <c r="C18" t="s">
        <v>19</v>
      </c>
    </row>
    <row r="19" spans="1:3" x14ac:dyDescent="0.25">
      <c r="A19" t="s">
        <v>20</v>
      </c>
      <c r="B19" t="s">
        <v>20</v>
      </c>
      <c r="C19" t="s">
        <v>20</v>
      </c>
    </row>
    <row r="20" spans="1:3" x14ac:dyDescent="0.25">
      <c r="A20" t="s">
        <v>21</v>
      </c>
      <c r="B20" t="s">
        <v>21</v>
      </c>
      <c r="C20" t="s">
        <v>21</v>
      </c>
    </row>
    <row r="21" spans="1:3" x14ac:dyDescent="0.25">
      <c r="A21" t="s">
        <v>22</v>
      </c>
      <c r="B21" t="s">
        <v>22</v>
      </c>
      <c r="C21" t="s">
        <v>22</v>
      </c>
    </row>
    <row r="22" spans="1:3" x14ac:dyDescent="0.25">
      <c r="A22" t="s">
        <v>23</v>
      </c>
      <c r="B22" t="s">
        <v>23</v>
      </c>
      <c r="C22" t="s">
        <v>23</v>
      </c>
    </row>
    <row r="23" spans="1:3" x14ac:dyDescent="0.25">
      <c r="A23" t="s">
        <v>24</v>
      </c>
      <c r="B23" t="s">
        <v>24</v>
      </c>
      <c r="C23" t="s">
        <v>24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V2"/>
  <sheetViews>
    <sheetView workbookViewId="0"/>
  </sheetViews>
  <sheetFormatPr defaultRowHeight="15" x14ac:dyDescent="0.25"/>
  <cols>
    <col min="1" max="1" width="12.7109375" bestFit="1" customWidth="1"/>
    <col min="2" max="2" width="10.140625" bestFit="1" customWidth="1"/>
    <col min="3" max="3" width="16.140625" bestFit="1" customWidth="1"/>
    <col min="4" max="4" width="22" bestFit="1" customWidth="1"/>
    <col min="5" max="5" width="19.28515625" bestFit="1" customWidth="1"/>
    <col min="6" max="6" width="16.140625" bestFit="1" customWidth="1"/>
    <col min="7" max="7" width="13.42578125" bestFit="1" customWidth="1"/>
    <col min="8" max="8" width="14.7109375" bestFit="1" customWidth="1"/>
    <col min="9" max="9" width="16.7109375" bestFit="1" customWidth="1"/>
    <col min="10" max="10" width="14" bestFit="1" customWidth="1"/>
    <col min="11" max="11" width="45.42578125" bestFit="1" customWidth="1"/>
    <col min="12" max="12" width="24.5703125" bestFit="1" customWidth="1"/>
    <col min="13" max="13" width="20.85546875" bestFit="1" customWidth="1"/>
    <col min="14" max="14" width="18.7109375" bestFit="1" customWidth="1"/>
    <col min="15" max="15" width="9.28515625" bestFit="1" customWidth="1"/>
    <col min="16" max="16" width="26.5703125" bestFit="1" customWidth="1"/>
    <col min="17" max="17" width="27.7109375" bestFit="1" customWidth="1"/>
    <col min="18" max="18" width="26.7109375" bestFit="1" customWidth="1"/>
    <col min="19" max="19" width="14.42578125" bestFit="1" customWidth="1"/>
    <col min="20" max="20" width="43.5703125" bestFit="1" customWidth="1"/>
    <col min="21" max="21" width="16" bestFit="1" customWidth="1"/>
    <col min="22" max="22" width="8.5703125" bestFit="1" customWidth="1"/>
  </cols>
  <sheetData>
    <row r="1" spans="1:22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47</v>
      </c>
      <c r="U1" t="s">
        <v>23</v>
      </c>
      <c r="V1" t="s">
        <v>48</v>
      </c>
    </row>
    <row r="2" spans="1:22" x14ac:dyDescent="0.25">
      <c r="A2" t="s">
        <v>50</v>
      </c>
      <c r="B2" s="1">
        <v>45849</v>
      </c>
      <c r="C2" t="s">
        <v>51</v>
      </c>
      <c r="D2" t="s">
        <v>52</v>
      </c>
      <c r="E2" t="s">
        <v>54</v>
      </c>
      <c r="F2">
        <v>1</v>
      </c>
      <c r="G2">
        <v>1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62</v>
      </c>
      <c r="N2" t="s">
        <v>63</v>
      </c>
      <c r="O2" t="s">
        <v>53</v>
      </c>
      <c r="P2" t="s">
        <v>64</v>
      </c>
      <c r="Q2" t="s">
        <v>65</v>
      </c>
      <c r="R2">
        <v>0</v>
      </c>
      <c r="S2" t="s">
        <v>66</v>
      </c>
      <c r="T2" t="s">
        <v>57</v>
      </c>
      <c r="U2" t="s">
        <v>49</v>
      </c>
      <c r="V2" t="s">
        <v>68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BX28"/>
  <sheetViews>
    <sheetView tabSelected="1" topLeftCell="AW1" workbookViewId="0">
      <selection activeCell="BS27" sqref="BS27"/>
    </sheetView>
  </sheetViews>
  <sheetFormatPr defaultRowHeight="15" x14ac:dyDescent="0.25"/>
  <cols>
    <col min="1" max="1" width="16.5703125" bestFit="1" customWidth="1"/>
    <col min="2" max="2" width="12.42578125" bestFit="1" customWidth="1"/>
    <col min="3" max="3" width="23.42578125" bestFit="1" customWidth="1"/>
    <col min="4" max="4" width="30" bestFit="1" customWidth="1"/>
    <col min="5" max="5" width="10.140625" bestFit="1" customWidth="1"/>
    <col min="6" max="6" width="16.140625" bestFit="1" customWidth="1"/>
    <col min="7" max="7" width="7.28515625" bestFit="1" customWidth="1"/>
    <col min="8" max="8" width="10" bestFit="1" customWidth="1"/>
    <col min="9" max="9" width="30.28515625" bestFit="1" customWidth="1"/>
    <col min="10" max="10" width="21.7109375" bestFit="1" customWidth="1"/>
    <col min="11" max="11" width="20.85546875" bestFit="1" customWidth="1"/>
    <col min="12" max="12" width="4.42578125" bestFit="1" customWidth="1"/>
    <col min="13" max="13" width="5.42578125" bestFit="1" customWidth="1"/>
    <col min="14" max="14" width="16.5703125" bestFit="1" customWidth="1"/>
    <col min="15" max="15" width="32.5703125" bestFit="1" customWidth="1"/>
    <col min="16" max="16" width="16.140625" bestFit="1" customWidth="1"/>
    <col min="17" max="17" width="21.5703125" bestFit="1" customWidth="1"/>
    <col min="18" max="18" width="8.7109375" bestFit="1" customWidth="1"/>
    <col min="19" max="19" width="14" bestFit="1" customWidth="1"/>
    <col min="20" max="20" width="20.28515625" bestFit="1" customWidth="1"/>
    <col min="21" max="21" width="25.7109375" bestFit="1" customWidth="1"/>
    <col min="22" max="22" width="12.7109375" bestFit="1" customWidth="1"/>
    <col min="23" max="23" width="18.140625" bestFit="1" customWidth="1"/>
    <col min="24" max="24" width="8" bestFit="1" customWidth="1"/>
    <col min="25" max="25" width="12.140625" bestFit="1" customWidth="1"/>
    <col min="26" max="26" width="8.7109375" bestFit="1" customWidth="1"/>
    <col min="27" max="27" width="13.140625" bestFit="1" customWidth="1"/>
    <col min="28" max="28" width="25.85546875" bestFit="1" customWidth="1"/>
    <col min="29" max="29" width="18" bestFit="1" customWidth="1"/>
    <col min="30" max="30" width="26.7109375" bestFit="1" customWidth="1"/>
    <col min="31" max="31" width="16.28515625" bestFit="1" customWidth="1"/>
    <col min="32" max="32" width="23.7109375" bestFit="1" customWidth="1"/>
    <col min="33" max="33" width="13.42578125" bestFit="1" customWidth="1"/>
    <col min="34" max="34" width="34.5703125" bestFit="1" customWidth="1"/>
    <col min="35" max="35" width="9.7109375" bestFit="1" customWidth="1"/>
    <col min="36" max="36" width="17" bestFit="1" customWidth="1"/>
    <col min="37" max="37" width="28.28515625" bestFit="1" customWidth="1"/>
    <col min="38" max="38" width="9.7109375" bestFit="1" customWidth="1"/>
    <col min="39" max="39" width="17" bestFit="1" customWidth="1"/>
    <col min="40" max="40" width="28.28515625" bestFit="1" customWidth="1"/>
    <col min="41" max="41" width="9.7109375" bestFit="1" customWidth="1"/>
    <col min="42" max="42" width="17" bestFit="1" customWidth="1"/>
    <col min="43" max="43" width="11.85546875" bestFit="1" customWidth="1"/>
    <col min="44" max="44" width="14.5703125" bestFit="1" customWidth="1"/>
    <col min="45" max="45" width="19.28515625" bestFit="1" customWidth="1"/>
    <col min="46" max="46" width="20.140625" bestFit="1" customWidth="1"/>
    <col min="47" max="47" width="19.42578125" bestFit="1" customWidth="1"/>
    <col min="48" max="48" width="14.42578125" bestFit="1" customWidth="1"/>
    <col min="49" max="50" width="6" bestFit="1" customWidth="1"/>
    <col min="51" max="51" width="4.85546875" bestFit="1" customWidth="1"/>
    <col min="52" max="52" width="6" bestFit="1" customWidth="1"/>
    <col min="53" max="54" width="11.42578125" bestFit="1" customWidth="1"/>
    <col min="55" max="55" width="30" bestFit="1" customWidth="1"/>
    <col min="56" max="56" width="16.5703125" bestFit="1" customWidth="1"/>
    <col min="57" max="57" width="12" bestFit="1" customWidth="1"/>
    <col min="58" max="58" width="17.42578125" bestFit="1" customWidth="1"/>
    <col min="59" max="59" width="16.140625" bestFit="1" customWidth="1"/>
    <col min="60" max="60" width="11.28515625" bestFit="1" customWidth="1"/>
    <col min="61" max="61" width="5.5703125" bestFit="1" customWidth="1"/>
    <col min="62" max="65" width="6" bestFit="1" customWidth="1"/>
    <col min="66" max="70" width="7.140625" bestFit="1" customWidth="1"/>
    <col min="71" max="73" width="10.140625" bestFit="1" customWidth="1"/>
    <col min="74" max="76" width="6" bestFit="1" customWidth="1"/>
  </cols>
  <sheetData>
    <row r="1" spans="1:76" x14ac:dyDescent="0.25">
      <c r="A1" t="s">
        <v>69</v>
      </c>
      <c r="B1" t="s">
        <v>70</v>
      </c>
      <c r="C1" t="s">
        <v>71</v>
      </c>
      <c r="D1" t="s">
        <v>615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39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610</v>
      </c>
      <c r="U1" t="s">
        <v>611</v>
      </c>
      <c r="V1" t="s">
        <v>86</v>
      </c>
      <c r="W1" t="s">
        <v>535</v>
      </c>
      <c r="X1" t="s">
        <v>87</v>
      </c>
      <c r="Y1" t="s">
        <v>88</v>
      </c>
      <c r="Z1" t="s">
        <v>89</v>
      </c>
      <c r="AA1" t="s">
        <v>90</v>
      </c>
      <c r="AB1" t="s">
        <v>613</v>
      </c>
      <c r="AC1" t="s">
        <v>612</v>
      </c>
      <c r="AD1" t="s">
        <v>44</v>
      </c>
      <c r="AE1" t="s">
        <v>91</v>
      </c>
      <c r="AF1" t="s">
        <v>92</v>
      </c>
      <c r="AG1" t="s">
        <v>93</v>
      </c>
      <c r="AH1" t="s">
        <v>94</v>
      </c>
      <c r="AI1" t="s">
        <v>95</v>
      </c>
      <c r="AJ1" t="s">
        <v>96</v>
      </c>
      <c r="AK1" t="s">
        <v>97</v>
      </c>
      <c r="AL1" t="s">
        <v>98</v>
      </c>
      <c r="AM1" t="s">
        <v>99</v>
      </c>
      <c r="AN1" t="s">
        <v>100</v>
      </c>
      <c r="AO1" t="s">
        <v>101</v>
      </c>
      <c r="AP1" t="s">
        <v>102</v>
      </c>
      <c r="AQ1" t="s">
        <v>103</v>
      </c>
      <c r="AR1" t="s">
        <v>105</v>
      </c>
      <c r="AS1" t="s">
        <v>106</v>
      </c>
      <c r="AT1" t="s">
        <v>107</v>
      </c>
      <c r="AU1" t="s">
        <v>108</v>
      </c>
      <c r="AV1" t="s">
        <v>109</v>
      </c>
      <c r="AW1" t="s">
        <v>7</v>
      </c>
      <c r="AX1" t="s">
        <v>8</v>
      </c>
      <c r="AY1" t="s">
        <v>9</v>
      </c>
      <c r="AZ1" t="s">
        <v>10</v>
      </c>
      <c r="BA1" t="s">
        <v>110</v>
      </c>
      <c r="BB1" t="s">
        <v>112</v>
      </c>
      <c r="BC1" t="s">
        <v>113</v>
      </c>
      <c r="BD1" t="s">
        <v>114</v>
      </c>
      <c r="BE1" t="s">
        <v>115</v>
      </c>
      <c r="BF1" t="s">
        <v>116</v>
      </c>
      <c r="BG1" t="s">
        <v>117</v>
      </c>
      <c r="BH1" t="s">
        <v>118</v>
      </c>
      <c r="BI1" t="s">
        <v>119</v>
      </c>
      <c r="BJ1" t="s">
        <v>120</v>
      </c>
      <c r="BK1" t="s">
        <v>121</v>
      </c>
      <c r="BL1" t="s">
        <v>122</v>
      </c>
      <c r="BM1" t="s">
        <v>123</v>
      </c>
      <c r="BN1" t="s">
        <v>124</v>
      </c>
      <c r="BO1" t="s">
        <v>125</v>
      </c>
      <c r="BP1" t="s">
        <v>126</v>
      </c>
      <c r="BQ1" t="s">
        <v>127</v>
      </c>
      <c r="BR1" t="s">
        <v>128</v>
      </c>
      <c r="BS1" t="s">
        <v>129</v>
      </c>
      <c r="BT1" t="s">
        <v>130</v>
      </c>
      <c r="BU1" t="s">
        <v>131</v>
      </c>
      <c r="BV1" t="s">
        <v>132</v>
      </c>
      <c r="BW1" t="s">
        <v>133</v>
      </c>
      <c r="BX1" t="s">
        <v>134</v>
      </c>
    </row>
    <row r="2" spans="1:76" x14ac:dyDescent="0.25">
      <c r="A2" s="1">
        <v>45849</v>
      </c>
      <c r="B2" t="s">
        <v>135</v>
      </c>
      <c r="C2" t="s">
        <v>136</v>
      </c>
      <c r="D2" t="s">
        <v>616</v>
      </c>
      <c r="E2" t="s">
        <v>137</v>
      </c>
      <c r="F2" t="s">
        <v>138</v>
      </c>
      <c r="G2" t="s">
        <v>57</v>
      </c>
      <c r="H2" t="s">
        <v>57</v>
      </c>
      <c r="I2" t="s">
        <v>136</v>
      </c>
      <c r="J2" t="s">
        <v>139</v>
      </c>
      <c r="K2" t="s">
        <v>140</v>
      </c>
      <c r="L2" t="s">
        <v>141</v>
      </c>
      <c r="M2" t="s">
        <v>141</v>
      </c>
      <c r="N2">
        <v>1</v>
      </c>
      <c r="O2" t="s">
        <v>142</v>
      </c>
      <c r="P2">
        <v>1.123</v>
      </c>
      <c r="Q2">
        <v>1.123</v>
      </c>
      <c r="R2">
        <v>1.123</v>
      </c>
      <c r="S2">
        <v>1.123</v>
      </c>
      <c r="T2">
        <v>1.012</v>
      </c>
      <c r="U2">
        <v>1.012</v>
      </c>
      <c r="V2">
        <v>1.012</v>
      </c>
      <c r="W2">
        <v>1.012</v>
      </c>
      <c r="X2">
        <v>500.11</v>
      </c>
      <c r="Y2">
        <v>561.62</v>
      </c>
      <c r="Z2">
        <v>250.11</v>
      </c>
      <c r="AA2">
        <v>280.87</v>
      </c>
      <c r="AB2" s="4">
        <v>0</v>
      </c>
      <c r="AC2" s="4">
        <v>0</v>
      </c>
      <c r="AD2">
        <v>1.1100000000000001</v>
      </c>
      <c r="AE2">
        <v>3.12</v>
      </c>
      <c r="AF2">
        <v>1.1200000000000001</v>
      </c>
      <c r="AG2">
        <v>3.15</v>
      </c>
      <c r="AH2" t="s">
        <v>143</v>
      </c>
      <c r="AI2">
        <v>1.02</v>
      </c>
      <c r="AJ2">
        <v>2.86</v>
      </c>
      <c r="AK2" t="s">
        <v>143</v>
      </c>
      <c r="AL2">
        <v>1.07</v>
      </c>
      <c r="AM2">
        <v>3.01</v>
      </c>
      <c r="AN2" t="s">
        <v>143</v>
      </c>
      <c r="AO2">
        <v>1.23</v>
      </c>
      <c r="AP2">
        <v>3.45</v>
      </c>
      <c r="AQ2" t="s">
        <v>57</v>
      </c>
      <c r="AR2" t="s">
        <v>144</v>
      </c>
      <c r="AS2" t="s">
        <v>145</v>
      </c>
      <c r="AT2" t="s">
        <v>146</v>
      </c>
      <c r="AU2">
        <v>265.27999999999997</v>
      </c>
      <c r="AV2">
        <v>12</v>
      </c>
      <c r="AW2">
        <v>15.92</v>
      </c>
      <c r="AX2">
        <v>15.92</v>
      </c>
      <c r="AY2">
        <v>0</v>
      </c>
      <c r="AZ2">
        <v>2.65</v>
      </c>
      <c r="BA2">
        <v>34.49</v>
      </c>
      <c r="BB2">
        <v>299.77</v>
      </c>
      <c r="BC2">
        <v>299.77</v>
      </c>
      <c r="BD2" t="s">
        <v>147</v>
      </c>
      <c r="BE2" t="s">
        <v>148</v>
      </c>
      <c r="BF2" t="s">
        <v>149</v>
      </c>
      <c r="BG2" t="s">
        <v>150</v>
      </c>
      <c r="BH2" t="s">
        <v>151</v>
      </c>
      <c r="BI2" t="s">
        <v>152</v>
      </c>
      <c r="BJ2" t="s">
        <v>153</v>
      </c>
      <c r="BK2" t="s">
        <v>154</v>
      </c>
      <c r="BL2" t="s">
        <v>155</v>
      </c>
      <c r="BM2" t="s">
        <v>156</v>
      </c>
      <c r="BN2">
        <v>1.28</v>
      </c>
      <c r="BO2">
        <v>1.35</v>
      </c>
      <c r="BP2">
        <v>1.42</v>
      </c>
      <c r="BQ2">
        <v>1.48</v>
      </c>
      <c r="BR2">
        <v>1.55</v>
      </c>
      <c r="BS2" s="1">
        <v>45850</v>
      </c>
      <c r="BT2" s="1">
        <v>45851</v>
      </c>
      <c r="BU2" s="1">
        <v>45852</v>
      </c>
      <c r="BV2" t="s">
        <v>53</v>
      </c>
      <c r="BW2" t="s">
        <v>53</v>
      </c>
      <c r="BX2" t="s">
        <v>53</v>
      </c>
    </row>
    <row r="3" spans="1:76" x14ac:dyDescent="0.25">
      <c r="A3" s="1">
        <v>45849</v>
      </c>
      <c r="B3" t="s">
        <v>157</v>
      </c>
      <c r="C3" t="s">
        <v>158</v>
      </c>
      <c r="D3" t="s">
        <v>616</v>
      </c>
      <c r="E3" t="s">
        <v>137</v>
      </c>
      <c r="F3" t="s">
        <v>138</v>
      </c>
      <c r="G3" t="s">
        <v>57</v>
      </c>
      <c r="H3" t="s">
        <v>57</v>
      </c>
      <c r="I3" t="s">
        <v>158</v>
      </c>
      <c r="J3" t="s">
        <v>139</v>
      </c>
      <c r="K3" t="s">
        <v>159</v>
      </c>
      <c r="L3" t="s">
        <v>141</v>
      </c>
      <c r="M3" t="s">
        <v>141</v>
      </c>
      <c r="N3">
        <v>1</v>
      </c>
      <c r="O3" t="s">
        <v>142</v>
      </c>
      <c r="P3">
        <v>1.1240000000000001</v>
      </c>
      <c r="Q3">
        <v>1.1240000000000001</v>
      </c>
      <c r="R3">
        <v>1.1240000000000001</v>
      </c>
      <c r="S3">
        <v>1.1240000000000001</v>
      </c>
      <c r="T3">
        <v>1.103</v>
      </c>
      <c r="U3">
        <v>1.103</v>
      </c>
      <c r="V3">
        <v>1.103</v>
      </c>
      <c r="W3">
        <v>1.103</v>
      </c>
      <c r="X3">
        <v>500.12</v>
      </c>
      <c r="Y3">
        <v>562.13</v>
      </c>
      <c r="Z3">
        <v>250.12</v>
      </c>
      <c r="AA3">
        <v>281.13</v>
      </c>
      <c r="AB3" s="4">
        <v>0</v>
      </c>
      <c r="AC3" s="4">
        <v>0</v>
      </c>
      <c r="AD3">
        <v>1.1100000000000001</v>
      </c>
      <c r="AE3">
        <v>3.12</v>
      </c>
      <c r="AF3">
        <v>1.1299999999999999</v>
      </c>
      <c r="AG3">
        <v>3.18</v>
      </c>
      <c r="AH3" t="s">
        <v>143</v>
      </c>
      <c r="AI3">
        <v>1.03</v>
      </c>
      <c r="AJ3">
        <v>2.9</v>
      </c>
      <c r="AK3" t="s">
        <v>160</v>
      </c>
      <c r="AL3">
        <v>1.08</v>
      </c>
      <c r="AM3">
        <v>3</v>
      </c>
      <c r="AN3" t="s">
        <v>160</v>
      </c>
      <c r="AO3">
        <v>1.24</v>
      </c>
      <c r="AP3">
        <v>3.45</v>
      </c>
      <c r="AQ3" t="s">
        <v>57</v>
      </c>
      <c r="AR3" t="s">
        <v>144</v>
      </c>
      <c r="AS3" t="s">
        <v>145</v>
      </c>
      <c r="AT3" t="s">
        <v>146</v>
      </c>
      <c r="AU3">
        <v>265.48</v>
      </c>
      <c r="AV3">
        <v>12</v>
      </c>
      <c r="AW3">
        <v>15.93</v>
      </c>
      <c r="AX3">
        <v>15.93</v>
      </c>
      <c r="AY3">
        <v>0</v>
      </c>
      <c r="AZ3">
        <v>2.65</v>
      </c>
      <c r="BA3">
        <v>34.51</v>
      </c>
      <c r="BB3">
        <v>299.99</v>
      </c>
      <c r="BC3">
        <v>299.99</v>
      </c>
      <c r="BD3" t="s">
        <v>161</v>
      </c>
      <c r="BE3" t="s">
        <v>162</v>
      </c>
      <c r="BF3" t="s">
        <v>163</v>
      </c>
      <c r="BG3" t="s">
        <v>164</v>
      </c>
      <c r="BH3" t="s">
        <v>165</v>
      </c>
      <c r="BI3" t="s">
        <v>166</v>
      </c>
      <c r="BJ3" t="s">
        <v>167</v>
      </c>
      <c r="BK3" t="s">
        <v>168</v>
      </c>
      <c r="BL3" t="s">
        <v>169</v>
      </c>
      <c r="BM3" t="s">
        <v>170</v>
      </c>
      <c r="BN3">
        <v>1.29</v>
      </c>
      <c r="BO3">
        <v>1.36</v>
      </c>
      <c r="BP3">
        <v>1.43</v>
      </c>
      <c r="BQ3">
        <v>1.49</v>
      </c>
      <c r="BR3">
        <v>1.56</v>
      </c>
      <c r="BS3" s="1">
        <v>45853</v>
      </c>
      <c r="BT3" s="1">
        <v>45854</v>
      </c>
      <c r="BU3" s="1">
        <v>45855</v>
      </c>
      <c r="BV3" t="s">
        <v>53</v>
      </c>
      <c r="BW3" t="s">
        <v>53</v>
      </c>
      <c r="BX3" t="s">
        <v>53</v>
      </c>
    </row>
    <row r="4" spans="1:76" x14ac:dyDescent="0.25">
      <c r="A4" s="1">
        <v>45849</v>
      </c>
      <c r="B4" t="s">
        <v>171</v>
      </c>
      <c r="C4" t="s">
        <v>172</v>
      </c>
      <c r="D4" t="s">
        <v>616</v>
      </c>
      <c r="E4" t="s">
        <v>173</v>
      </c>
      <c r="F4" t="s">
        <v>138</v>
      </c>
      <c r="G4" t="s">
        <v>57</v>
      </c>
      <c r="H4" t="s">
        <v>57</v>
      </c>
      <c r="I4" t="s">
        <v>172</v>
      </c>
      <c r="J4" t="s">
        <v>139</v>
      </c>
      <c r="K4" t="s">
        <v>174</v>
      </c>
      <c r="L4" t="s">
        <v>141</v>
      </c>
      <c r="M4" t="s">
        <v>141</v>
      </c>
      <c r="N4">
        <v>1</v>
      </c>
      <c r="O4" t="s">
        <v>142</v>
      </c>
      <c r="P4">
        <v>1.1259999999999999</v>
      </c>
      <c r="Q4">
        <v>1.1259999999999999</v>
      </c>
      <c r="R4">
        <v>1.1259999999999999</v>
      </c>
      <c r="S4">
        <v>1.1259999999999999</v>
      </c>
      <c r="T4">
        <v>1.105</v>
      </c>
      <c r="U4">
        <v>1.105</v>
      </c>
      <c r="V4">
        <v>1.105</v>
      </c>
      <c r="W4">
        <v>1.105</v>
      </c>
      <c r="X4">
        <v>1000.13</v>
      </c>
      <c r="Y4">
        <v>1126.1500000000001</v>
      </c>
      <c r="Z4">
        <v>100.13</v>
      </c>
      <c r="AA4">
        <v>112.75</v>
      </c>
      <c r="AB4" s="4">
        <v>0</v>
      </c>
      <c r="AC4" s="4">
        <v>0</v>
      </c>
      <c r="AD4">
        <v>1.1100000000000001</v>
      </c>
      <c r="AE4">
        <v>1.25</v>
      </c>
      <c r="AF4">
        <v>1.1399999999999999</v>
      </c>
      <c r="AG4">
        <v>1.29</v>
      </c>
      <c r="AH4" s="2" t="s">
        <v>175</v>
      </c>
      <c r="AI4">
        <v>1.04</v>
      </c>
      <c r="AJ4" s="2">
        <v>1.17</v>
      </c>
      <c r="AK4" s="2" t="s">
        <v>176</v>
      </c>
      <c r="AL4">
        <v>1.0900000000000001</v>
      </c>
      <c r="AM4" s="2">
        <v>1.22</v>
      </c>
      <c r="AN4" s="2" t="s">
        <v>176</v>
      </c>
      <c r="AO4">
        <v>1.25</v>
      </c>
      <c r="AP4" s="2">
        <v>1.39</v>
      </c>
      <c r="AQ4" t="s">
        <v>57</v>
      </c>
      <c r="AR4" t="s">
        <v>177</v>
      </c>
      <c r="AS4" t="s">
        <v>178</v>
      </c>
      <c r="AT4" t="s">
        <v>179</v>
      </c>
      <c r="AU4" s="2">
        <v>106.43</v>
      </c>
      <c r="AV4">
        <v>18</v>
      </c>
      <c r="AW4" s="2">
        <v>9.58</v>
      </c>
      <c r="AX4" s="2">
        <v>9.58</v>
      </c>
      <c r="AY4" s="2">
        <v>0</v>
      </c>
      <c r="AZ4" s="2">
        <v>10.64</v>
      </c>
      <c r="BA4" s="2">
        <v>29.8</v>
      </c>
      <c r="BB4" s="2">
        <v>136.22999999999999</v>
      </c>
      <c r="BC4" s="2">
        <v>136.22999999999999</v>
      </c>
      <c r="BD4" t="s">
        <v>180</v>
      </c>
      <c r="BE4" t="s">
        <v>181</v>
      </c>
      <c r="BF4" t="s">
        <v>182</v>
      </c>
      <c r="BG4" t="s">
        <v>183</v>
      </c>
      <c r="BH4" t="s">
        <v>184</v>
      </c>
      <c r="BI4" t="s">
        <v>185</v>
      </c>
      <c r="BJ4" t="s">
        <v>186</v>
      </c>
      <c r="BK4" t="s">
        <v>187</v>
      </c>
      <c r="BL4" t="s">
        <v>188</v>
      </c>
      <c r="BM4" t="s">
        <v>189</v>
      </c>
      <c r="BN4">
        <v>1.31</v>
      </c>
      <c r="BO4">
        <v>1.37</v>
      </c>
      <c r="BP4">
        <v>1.44</v>
      </c>
      <c r="BQ4">
        <v>1.51</v>
      </c>
      <c r="BR4">
        <v>1.57</v>
      </c>
      <c r="BS4" s="1">
        <v>45856</v>
      </c>
      <c r="BT4" s="1">
        <v>45857</v>
      </c>
      <c r="BU4" s="1">
        <v>45858</v>
      </c>
      <c r="BV4" t="s">
        <v>53</v>
      </c>
      <c r="BW4" t="s">
        <v>53</v>
      </c>
      <c r="BX4" t="s">
        <v>53</v>
      </c>
    </row>
    <row r="5" spans="1:76" x14ac:dyDescent="0.25">
      <c r="A5" s="1">
        <v>45849</v>
      </c>
      <c r="B5" t="s">
        <v>190</v>
      </c>
      <c r="C5" t="s">
        <v>191</v>
      </c>
      <c r="D5" t="s">
        <v>617</v>
      </c>
      <c r="E5" s="6">
        <v>8967</v>
      </c>
      <c r="F5" t="s">
        <v>138</v>
      </c>
      <c r="G5" s="6">
        <v>1</v>
      </c>
      <c r="H5" s="6">
        <v>1</v>
      </c>
      <c r="I5" t="s">
        <v>192</v>
      </c>
      <c r="J5" t="s">
        <v>193</v>
      </c>
      <c r="K5" t="s">
        <v>194</v>
      </c>
      <c r="L5" t="s">
        <v>141</v>
      </c>
      <c r="M5" t="s">
        <v>141</v>
      </c>
      <c r="N5">
        <v>1</v>
      </c>
      <c r="O5" t="s">
        <v>142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500.14</v>
      </c>
      <c r="Y5">
        <v>500.14</v>
      </c>
      <c r="Z5">
        <v>250.14</v>
      </c>
      <c r="AA5">
        <v>250.14</v>
      </c>
      <c r="AB5" s="5">
        <v>0</v>
      </c>
      <c r="AC5" s="5">
        <v>0</v>
      </c>
      <c r="AD5">
        <v>1.1100000000000001</v>
      </c>
      <c r="AE5">
        <v>2.78</v>
      </c>
      <c r="AF5">
        <v>1.1499999999999999</v>
      </c>
      <c r="AG5">
        <v>2.88</v>
      </c>
      <c r="AH5" t="s">
        <v>195</v>
      </c>
      <c r="AI5">
        <v>1.05</v>
      </c>
      <c r="AJ5">
        <v>1.05</v>
      </c>
      <c r="AK5" t="s">
        <v>195</v>
      </c>
      <c r="AL5">
        <v>1.21</v>
      </c>
      <c r="AM5">
        <v>1.21</v>
      </c>
      <c r="AN5" t="s">
        <v>196</v>
      </c>
      <c r="AO5">
        <v>1.26</v>
      </c>
      <c r="AP5">
        <v>3.12</v>
      </c>
      <c r="AQ5">
        <v>0</v>
      </c>
      <c r="AR5" t="s">
        <v>144</v>
      </c>
      <c r="AS5" t="s">
        <v>145</v>
      </c>
      <c r="AT5" t="s">
        <v>146</v>
      </c>
      <c r="AU5">
        <v>239.1</v>
      </c>
      <c r="AV5">
        <v>12</v>
      </c>
      <c r="AW5">
        <v>14.35</v>
      </c>
      <c r="AX5">
        <v>14.35</v>
      </c>
      <c r="AY5">
        <v>0</v>
      </c>
      <c r="AZ5">
        <v>2.39</v>
      </c>
      <c r="BA5">
        <v>31.09</v>
      </c>
      <c r="BB5">
        <v>270.19</v>
      </c>
      <c r="BC5">
        <v>270.19</v>
      </c>
      <c r="BD5" t="s">
        <v>197</v>
      </c>
      <c r="BE5" t="s">
        <v>198</v>
      </c>
      <c r="BF5" t="s">
        <v>199</v>
      </c>
      <c r="BG5" t="s">
        <v>200</v>
      </c>
      <c r="BH5" t="s">
        <v>201</v>
      </c>
      <c r="BI5" t="s">
        <v>202</v>
      </c>
      <c r="BJ5" t="s">
        <v>203</v>
      </c>
      <c r="BK5" t="s">
        <v>204</v>
      </c>
      <c r="BL5" t="s">
        <v>205</v>
      </c>
      <c r="BM5" t="s">
        <v>206</v>
      </c>
      <c r="BN5">
        <v>1.32</v>
      </c>
      <c r="BO5">
        <v>1.38</v>
      </c>
      <c r="BP5">
        <v>1.45</v>
      </c>
      <c r="BQ5">
        <v>1.52</v>
      </c>
      <c r="BR5">
        <v>1.58</v>
      </c>
      <c r="BS5" s="1">
        <v>45859</v>
      </c>
      <c r="BT5" s="1">
        <v>45860</v>
      </c>
      <c r="BU5" s="1">
        <v>45861</v>
      </c>
      <c r="BV5" s="6">
        <v>1</v>
      </c>
      <c r="BW5" s="6">
        <v>1</v>
      </c>
      <c r="BX5" s="6">
        <v>1</v>
      </c>
    </row>
    <row r="6" spans="1:76" x14ac:dyDescent="0.25">
      <c r="A6" s="1">
        <v>45849</v>
      </c>
      <c r="B6" t="s">
        <v>190</v>
      </c>
      <c r="C6" t="s">
        <v>191</v>
      </c>
      <c r="D6" t="s">
        <v>617</v>
      </c>
      <c r="E6" s="6">
        <v>8967</v>
      </c>
      <c r="F6" t="s">
        <v>138</v>
      </c>
      <c r="G6" s="6">
        <v>1</v>
      </c>
      <c r="H6" s="6">
        <v>1</v>
      </c>
      <c r="I6" t="s">
        <v>192</v>
      </c>
      <c r="J6" t="s">
        <v>207</v>
      </c>
      <c r="K6" t="s">
        <v>194</v>
      </c>
      <c r="L6" t="s">
        <v>141</v>
      </c>
      <c r="M6" t="s">
        <v>141</v>
      </c>
      <c r="N6">
        <v>1</v>
      </c>
      <c r="O6" t="s">
        <v>142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>
        <v>500.14</v>
      </c>
      <c r="Y6">
        <v>0</v>
      </c>
      <c r="Z6">
        <v>250.14</v>
      </c>
      <c r="AA6">
        <v>0</v>
      </c>
      <c r="AB6" s="5">
        <v>0</v>
      </c>
      <c r="AC6" s="5">
        <v>0</v>
      </c>
      <c r="AD6">
        <v>1.1100000000000001</v>
      </c>
      <c r="AE6">
        <v>0</v>
      </c>
      <c r="AF6">
        <v>1.1599999999999999</v>
      </c>
      <c r="AG6">
        <v>0</v>
      </c>
      <c r="AH6" t="s">
        <v>195</v>
      </c>
      <c r="AI6">
        <v>1.05</v>
      </c>
      <c r="AJ6">
        <v>0</v>
      </c>
      <c r="AK6" t="s">
        <v>195</v>
      </c>
      <c r="AL6">
        <v>1.21</v>
      </c>
      <c r="AM6">
        <v>0</v>
      </c>
      <c r="AN6" t="s">
        <v>196</v>
      </c>
      <c r="AO6">
        <v>1.26</v>
      </c>
      <c r="AP6">
        <v>0</v>
      </c>
      <c r="AQ6">
        <v>0</v>
      </c>
      <c r="AR6" t="s">
        <v>144</v>
      </c>
      <c r="AS6" t="s">
        <v>145</v>
      </c>
      <c r="AT6" t="s">
        <v>146</v>
      </c>
      <c r="AU6">
        <v>0</v>
      </c>
      <c r="AV6">
        <v>12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t="s">
        <v>197</v>
      </c>
      <c r="BE6" t="s">
        <v>198</v>
      </c>
      <c r="BF6" t="s">
        <v>199</v>
      </c>
      <c r="BG6" t="s">
        <v>200</v>
      </c>
      <c r="BH6" t="s">
        <v>208</v>
      </c>
      <c r="BI6" t="s">
        <v>209</v>
      </c>
      <c r="BJ6" t="s">
        <v>210</v>
      </c>
      <c r="BK6" t="s">
        <v>211</v>
      </c>
      <c r="BL6" t="s">
        <v>212</v>
      </c>
      <c r="BM6" t="s">
        <v>213</v>
      </c>
      <c r="BN6">
        <v>1.33</v>
      </c>
      <c r="BO6">
        <v>1.39</v>
      </c>
      <c r="BP6">
        <v>1.46</v>
      </c>
      <c r="BQ6">
        <v>1.53</v>
      </c>
      <c r="BR6">
        <v>1.59</v>
      </c>
      <c r="BS6" s="1">
        <v>45862</v>
      </c>
      <c r="BT6" s="1">
        <v>45863</v>
      </c>
      <c r="BU6" s="1">
        <v>45864</v>
      </c>
      <c r="BV6" s="6">
        <v>1</v>
      </c>
      <c r="BW6" s="6">
        <v>1</v>
      </c>
      <c r="BX6" s="6">
        <v>1</v>
      </c>
    </row>
    <row r="7" spans="1:76" x14ac:dyDescent="0.25">
      <c r="A7" s="1">
        <v>45849</v>
      </c>
      <c r="B7" t="s">
        <v>214</v>
      </c>
      <c r="C7" t="s">
        <v>215</v>
      </c>
      <c r="D7" t="s">
        <v>618</v>
      </c>
      <c r="E7" t="s">
        <v>173</v>
      </c>
      <c r="F7" t="s">
        <v>138</v>
      </c>
      <c r="G7" t="s">
        <v>53</v>
      </c>
      <c r="H7" t="s">
        <v>57</v>
      </c>
      <c r="I7" t="s">
        <v>216</v>
      </c>
      <c r="J7" t="s">
        <v>139</v>
      </c>
      <c r="K7" t="s">
        <v>62</v>
      </c>
      <c r="L7" t="s">
        <v>141</v>
      </c>
      <c r="M7" t="s">
        <v>141</v>
      </c>
      <c r="N7">
        <v>1</v>
      </c>
      <c r="O7" t="s">
        <v>142</v>
      </c>
      <c r="P7">
        <v>1.1200000000000001</v>
      </c>
      <c r="Q7">
        <v>1.1200000000000001</v>
      </c>
      <c r="R7">
        <v>1.1200000000000001</v>
      </c>
      <c r="S7">
        <v>1.1200000000000001</v>
      </c>
      <c r="T7">
        <v>1.1100000000000001</v>
      </c>
      <c r="U7">
        <v>1.1100000000000001</v>
      </c>
      <c r="V7">
        <v>1.1100000000000001</v>
      </c>
      <c r="W7">
        <v>1.1100000000000001</v>
      </c>
      <c r="X7">
        <v>500.15</v>
      </c>
      <c r="Y7">
        <v>560.16999999999996</v>
      </c>
      <c r="Z7">
        <v>250.15</v>
      </c>
      <c r="AA7">
        <v>280.17</v>
      </c>
      <c r="AB7" s="4">
        <v>0</v>
      </c>
      <c r="AC7" s="4">
        <v>0</v>
      </c>
      <c r="AD7">
        <v>1.1100000000000001</v>
      </c>
      <c r="AE7">
        <v>3.11</v>
      </c>
      <c r="AF7">
        <v>1.17</v>
      </c>
      <c r="AG7">
        <v>3.28</v>
      </c>
      <c r="AH7" t="s">
        <v>217</v>
      </c>
      <c r="AI7">
        <v>1.06</v>
      </c>
      <c r="AJ7">
        <v>1.06</v>
      </c>
      <c r="AK7" t="s">
        <v>217</v>
      </c>
      <c r="AL7">
        <v>1.22</v>
      </c>
      <c r="AM7">
        <v>1.22</v>
      </c>
      <c r="AN7" t="s">
        <v>218</v>
      </c>
      <c r="AO7">
        <v>1.27</v>
      </c>
      <c r="AP7">
        <v>3.54</v>
      </c>
      <c r="AQ7" t="s">
        <v>57</v>
      </c>
      <c r="AR7" t="s">
        <v>177</v>
      </c>
      <c r="AS7" t="s">
        <v>178</v>
      </c>
      <c r="AT7" t="s">
        <v>179</v>
      </c>
      <c r="AU7">
        <v>267.95999999999998</v>
      </c>
      <c r="AV7">
        <v>18</v>
      </c>
      <c r="AW7">
        <v>24.12</v>
      </c>
      <c r="AX7">
        <v>24.12</v>
      </c>
      <c r="AY7">
        <v>0</v>
      </c>
      <c r="AZ7">
        <v>26.8</v>
      </c>
      <c r="BA7">
        <v>75.040000000000006</v>
      </c>
      <c r="BB7">
        <v>343</v>
      </c>
      <c r="BC7">
        <v>343</v>
      </c>
      <c r="BD7" t="s">
        <v>219</v>
      </c>
      <c r="BE7" t="s">
        <v>220</v>
      </c>
      <c r="BF7" t="s">
        <v>221</v>
      </c>
      <c r="BG7" t="s">
        <v>222</v>
      </c>
      <c r="BH7" t="s">
        <v>223</v>
      </c>
      <c r="BI7" t="s">
        <v>224</v>
      </c>
      <c r="BJ7" t="s">
        <v>225</v>
      </c>
      <c r="BK7" t="s">
        <v>226</v>
      </c>
      <c r="BL7" t="s">
        <v>227</v>
      </c>
      <c r="BM7" t="s">
        <v>228</v>
      </c>
      <c r="BN7">
        <v>1.34</v>
      </c>
      <c r="BO7">
        <v>1.41</v>
      </c>
      <c r="BP7">
        <v>1.47</v>
      </c>
      <c r="BQ7">
        <v>1.54</v>
      </c>
      <c r="BR7">
        <v>1.61</v>
      </c>
      <c r="BS7" s="1">
        <v>45865</v>
      </c>
      <c r="BT7" s="1">
        <v>45866</v>
      </c>
      <c r="BU7" s="1">
        <v>45867</v>
      </c>
      <c r="BV7" t="s">
        <v>53</v>
      </c>
      <c r="BW7" t="s">
        <v>53</v>
      </c>
      <c r="BX7" t="s">
        <v>53</v>
      </c>
    </row>
    <row r="9" spans="1:76" s="3" customFormat="1" x14ac:dyDescent="0.25">
      <c r="D9" s="7"/>
    </row>
    <row r="10" spans="1:76" s="3" customFormat="1" x14ac:dyDescent="0.25">
      <c r="D10" s="7"/>
      <c r="AA10" s="3">
        <f t="shared" ref="AA10:AA15" si="0">Z2*R2</f>
        <v>280.87353000000002</v>
      </c>
      <c r="AE10" s="3">
        <f>$AA10*AD2%</f>
        <v>3.1176961830000005</v>
      </c>
      <c r="AG10" s="3">
        <f>$AA10*AF2%</f>
        <v>3.1457835360000006</v>
      </c>
      <c r="AJ10" s="3">
        <f>$AA10*AI2%</f>
        <v>2.8649100060000006</v>
      </c>
      <c r="AM10" s="3">
        <f>$AA10*AL2%</f>
        <v>3.0053467710000006</v>
      </c>
      <c r="AP10" s="3">
        <f>$AA10*AO2%</f>
        <v>3.4547444190000003</v>
      </c>
      <c r="AS10" s="3">
        <f t="shared" ref="AS10:AS15" si="1">SUM(AE10:AP10)</f>
        <v>15.588480915000003</v>
      </c>
      <c r="AU10" s="3">
        <f t="shared" ref="AU10:AU15" si="2">$AA10-(AE10+AG10+AJ10+AM10+AP10)</f>
        <v>265.28504908500003</v>
      </c>
      <c r="BA10" s="3">
        <f t="shared" ref="BA10:BA15" si="3">AU10*AV2%+AZ2</f>
        <v>34.484205890200002</v>
      </c>
      <c r="BB10" s="3">
        <f t="shared" ref="BB10:BB15" si="4">ROUND(AU10+BA10,2)</f>
        <v>299.77</v>
      </c>
    </row>
    <row r="11" spans="1:76" s="3" customFormat="1" x14ac:dyDescent="0.25">
      <c r="D11" s="7"/>
      <c r="AA11" s="3">
        <f t="shared" si="0"/>
        <v>281.13488000000001</v>
      </c>
      <c r="AE11" s="3">
        <f t="shared" ref="AE11:AG15" si="5">$AA11*AD3%</f>
        <v>3.1205971680000002</v>
      </c>
      <c r="AG11" s="3">
        <f t="shared" si="5"/>
        <v>3.1768241439999998</v>
      </c>
      <c r="AJ11" s="3">
        <f>$AA11*AI3%</f>
        <v>2.895689264</v>
      </c>
      <c r="AM11" s="3">
        <f>($AA11-AJ11)*AL3%</f>
        <v>3.0049832599488004</v>
      </c>
      <c r="AP11" s="3">
        <f>($AA11-AM11)*AO3%</f>
        <v>3.4488107195766347</v>
      </c>
      <c r="AS11" s="3">
        <f t="shared" si="1"/>
        <v>15.646904555525435</v>
      </c>
      <c r="AU11" s="3">
        <f t="shared" si="2"/>
        <v>265.48797544447456</v>
      </c>
      <c r="BA11" s="3">
        <f t="shared" si="3"/>
        <v>34.508557053336943</v>
      </c>
      <c r="BB11" s="3">
        <f t="shared" si="4"/>
        <v>300</v>
      </c>
    </row>
    <row r="12" spans="1:76" s="3" customFormat="1" x14ac:dyDescent="0.25">
      <c r="D12" s="7"/>
      <c r="AA12" s="3">
        <f t="shared" si="0"/>
        <v>112.74637999999999</v>
      </c>
      <c r="AE12" s="3">
        <f t="shared" si="5"/>
        <v>1.251484818</v>
      </c>
      <c r="AG12" s="3">
        <f t="shared" si="5"/>
        <v>1.2853087319999996</v>
      </c>
      <c r="AJ12" s="3">
        <f>($AA12-$AE12-$AG12)*AI4%</f>
        <v>1.1461796990799997</v>
      </c>
      <c r="AM12" s="3">
        <f>($AA12-$AE12-$AG12-AJ12)*AL4%</f>
        <v>1.1887911335850279</v>
      </c>
      <c r="AP12" s="3">
        <f>($AA12-$AE12-$AG12-AJ12)*AO4%</f>
        <v>1.3632925843865</v>
      </c>
      <c r="AS12" s="3">
        <f t="shared" si="1"/>
        <v>6.235056967051527</v>
      </c>
      <c r="AU12" s="3">
        <f t="shared" si="2"/>
        <v>106.51132303294847</v>
      </c>
      <c r="BA12" s="3">
        <f t="shared" si="3"/>
        <v>29.812038145930725</v>
      </c>
      <c r="BB12" s="3">
        <f t="shared" si="4"/>
        <v>136.32</v>
      </c>
    </row>
    <row r="13" spans="1:76" s="3" customFormat="1" x14ac:dyDescent="0.25">
      <c r="D13" s="7"/>
      <c r="AA13" s="3">
        <f t="shared" si="0"/>
        <v>250.14</v>
      </c>
      <c r="AE13" s="3">
        <f t="shared" si="5"/>
        <v>2.776554</v>
      </c>
      <c r="AG13" s="3">
        <f t="shared" si="5"/>
        <v>2.8766099999999999</v>
      </c>
      <c r="AJ13" s="3">
        <f>$R5*AI5</f>
        <v>1.05</v>
      </c>
      <c r="AM13" s="3">
        <f>$R5*AL5</f>
        <v>1.21</v>
      </c>
      <c r="AP13" s="3">
        <f>($AA13-AJ13-AM13)*AO5%</f>
        <v>3.1232879999999996</v>
      </c>
      <c r="AS13" s="3">
        <f t="shared" si="1"/>
        <v>11.036452000000001</v>
      </c>
      <c r="AU13" s="3">
        <f t="shared" si="2"/>
        <v>239.10354799999999</v>
      </c>
      <c r="BA13" s="3">
        <f t="shared" si="3"/>
        <v>31.08242576</v>
      </c>
      <c r="BB13" s="3">
        <f t="shared" si="4"/>
        <v>270.19</v>
      </c>
    </row>
    <row r="14" spans="1:76" s="3" customFormat="1" x14ac:dyDescent="0.25">
      <c r="D14" s="7"/>
      <c r="AA14" s="3">
        <f t="shared" si="0"/>
        <v>0</v>
      </c>
      <c r="AE14" s="3">
        <f t="shared" si="5"/>
        <v>0</v>
      </c>
      <c r="AG14" s="3">
        <f t="shared" si="5"/>
        <v>0</v>
      </c>
      <c r="AJ14" s="3">
        <f>$R6*AI6</f>
        <v>0</v>
      </c>
      <c r="AM14" s="3">
        <f>$R6*AL6</f>
        <v>0</v>
      </c>
      <c r="AP14" s="3">
        <f>($AA14-AJ14-AM14)*AO6%</f>
        <v>0</v>
      </c>
      <c r="AS14" s="3">
        <f t="shared" si="1"/>
        <v>0</v>
      </c>
      <c r="AU14" s="3">
        <f t="shared" si="2"/>
        <v>0</v>
      </c>
      <c r="BA14" s="3">
        <f t="shared" si="3"/>
        <v>0</v>
      </c>
      <c r="BB14" s="3">
        <f t="shared" si="4"/>
        <v>0</v>
      </c>
    </row>
    <row r="15" spans="1:76" s="3" customFormat="1" x14ac:dyDescent="0.25">
      <c r="D15" s="7"/>
      <c r="AA15" s="3">
        <f t="shared" si="0"/>
        <v>280.16800000000001</v>
      </c>
      <c r="AE15" s="3">
        <f t="shared" si="5"/>
        <v>3.1098648000000004</v>
      </c>
      <c r="AG15" s="3">
        <f t="shared" si="5"/>
        <v>3.2779655999999995</v>
      </c>
      <c r="AJ15" s="3">
        <f>AI7</f>
        <v>1.06</v>
      </c>
      <c r="AM15" s="3">
        <f>AL7</f>
        <v>1.22</v>
      </c>
      <c r="AP15" s="3">
        <f>($AA15-AM15)*AO7%</f>
        <v>3.5426395999999998</v>
      </c>
      <c r="AS15" s="3">
        <f t="shared" si="1"/>
        <v>12.210470000000001</v>
      </c>
      <c r="AU15" s="3">
        <f t="shared" si="2"/>
        <v>267.95753000000002</v>
      </c>
      <c r="BA15" s="3">
        <f t="shared" si="3"/>
        <v>75.0323554</v>
      </c>
      <c r="BB15" s="3">
        <f t="shared" si="4"/>
        <v>342.99</v>
      </c>
    </row>
    <row r="16" spans="1:76" s="3" customFormat="1" x14ac:dyDescent="0.25">
      <c r="D16" s="7"/>
    </row>
    <row r="17" spans="4:72" s="3" customFormat="1" x14ac:dyDescent="0.25">
      <c r="D17" s="7"/>
      <c r="AA17" s="3">
        <f>SUM(AA10:AA15)</f>
        <v>1205.0627899999999</v>
      </c>
      <c r="AE17" s="3">
        <f>SUM(AE10:AE15)</f>
        <v>13.376196969000002</v>
      </c>
      <c r="AG17" s="3">
        <f>SUM(AG10:AG15)</f>
        <v>13.762492012000001</v>
      </c>
      <c r="AJ17" s="3">
        <f>SUM(AJ10:AJ15)</f>
        <v>9.0167789690799989</v>
      </c>
      <c r="AM17" s="3">
        <f>SUM(AM10:AM15)</f>
        <v>9.6291211645338297</v>
      </c>
      <c r="AP17" s="3">
        <f>SUM(AP10:AP15)</f>
        <v>14.932775322963133</v>
      </c>
      <c r="AS17" s="3">
        <f>SUM(AS10:AS15)</f>
        <v>60.717364437576961</v>
      </c>
      <c r="AU17" s="3">
        <f>SUM(AU10:AU15)</f>
        <v>1144.3454255624229</v>
      </c>
      <c r="BA17" s="3">
        <f>SUM(BA10:BA15)</f>
        <v>204.91958224946768</v>
      </c>
      <c r="BB17" s="3">
        <f>SUM(BB10:BB15)</f>
        <v>1349.27</v>
      </c>
    </row>
    <row r="18" spans="4:72" s="3" customFormat="1" x14ac:dyDescent="0.25">
      <c r="D18" s="7"/>
      <c r="AA18" s="3">
        <f>SUM(AA2:AA7)</f>
        <v>1205.06</v>
      </c>
      <c r="AE18" s="3">
        <f>SUM(AE2:AE7)</f>
        <v>13.379999999999999</v>
      </c>
      <c r="AG18" s="3">
        <f>SUM(AG2:AG7)</f>
        <v>13.78</v>
      </c>
      <c r="AJ18" s="3">
        <f>SUM(AJ2:AJ7)</f>
        <v>9.0399999999999991</v>
      </c>
      <c r="AM18" s="3">
        <f>SUM(AM2:AM7)</f>
        <v>9.66</v>
      </c>
      <c r="AP18" s="3">
        <f>SUM(AP2:AP7)</f>
        <v>14.95</v>
      </c>
      <c r="AS18" s="3">
        <f>SUM(AS2:AS7)</f>
        <v>0</v>
      </c>
      <c r="AU18" s="3">
        <f>SUM(AU2:AU7)</f>
        <v>1144.25</v>
      </c>
      <c r="AW18" s="3">
        <f t="shared" ref="AW18:BB18" si="6">SUM(AW2:AW7)</f>
        <v>79.900000000000006</v>
      </c>
      <c r="AX18" s="3">
        <f t="shared" si="6"/>
        <v>79.900000000000006</v>
      </c>
      <c r="AY18" s="3">
        <f t="shared" si="6"/>
        <v>0</v>
      </c>
      <c r="AZ18" s="3">
        <f t="shared" si="6"/>
        <v>45.13</v>
      </c>
      <c r="BA18" s="3">
        <f t="shared" si="6"/>
        <v>204.93</v>
      </c>
      <c r="BB18" s="3">
        <f t="shared" si="6"/>
        <v>1349.18</v>
      </c>
    </row>
    <row r="28" spans="4:72" x14ac:dyDescent="0.25">
      <c r="BT28" t="s">
        <v>614</v>
      </c>
    </row>
  </sheetData>
  <pageMargins left="0.69999998807907104" right="0.69999998807907104" top="0.75" bottom="0.75" header="0.30000001192092896" footer="0.30000001192092896"/>
  <pageSetup orientation="portrait" errors="blank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Q15"/>
  <sheetViews>
    <sheetView workbookViewId="0"/>
  </sheetViews>
  <sheetFormatPr defaultRowHeight="15" x14ac:dyDescent="0.25"/>
  <cols>
    <col min="1" max="1" width="20.140625" bestFit="1" customWidth="1"/>
    <col min="2" max="3" width="19.85546875" bestFit="1" customWidth="1"/>
    <col min="4" max="4" width="40.28515625" bestFit="1" customWidth="1"/>
    <col min="5" max="5" width="10.5703125" bestFit="1" customWidth="1"/>
    <col min="6" max="6" width="11" bestFit="1" customWidth="1"/>
    <col min="7" max="7" width="19.28515625" bestFit="1" customWidth="1"/>
    <col min="8" max="8" width="8.140625" bestFit="1" customWidth="1"/>
    <col min="9" max="9" width="8" bestFit="1" customWidth="1"/>
    <col min="10" max="10" width="26.42578125" bestFit="1" customWidth="1"/>
    <col min="11" max="11" width="11" bestFit="1" customWidth="1"/>
    <col min="12" max="12" width="29.42578125" bestFit="1" customWidth="1"/>
    <col min="13" max="13" width="14.28515625" bestFit="1" customWidth="1"/>
    <col min="14" max="14" width="10.5703125" bestFit="1" customWidth="1"/>
    <col min="15" max="15" width="15" bestFit="1" customWidth="1"/>
    <col min="16" max="16" width="13.85546875" bestFit="1" customWidth="1"/>
    <col min="17" max="17" width="13.28515625" bestFit="1" customWidth="1"/>
  </cols>
  <sheetData>
    <row r="1" spans="1:17" x14ac:dyDescent="0.25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</row>
    <row r="2" spans="1:17" x14ac:dyDescent="0.25">
      <c r="A2" t="s">
        <v>237</v>
      </c>
      <c r="B2" t="s">
        <v>241</v>
      </c>
      <c r="C2" t="s">
        <v>241</v>
      </c>
      <c r="D2" t="s">
        <v>242</v>
      </c>
      <c r="E2" s="2">
        <v>1144.25</v>
      </c>
      <c r="F2">
        <v>1.62</v>
      </c>
      <c r="G2" t="s">
        <v>57</v>
      </c>
      <c r="H2" s="2">
        <v>18.54</v>
      </c>
      <c r="I2" s="2">
        <v>18.54</v>
      </c>
      <c r="J2">
        <v>18.54</v>
      </c>
      <c r="K2">
        <v>0</v>
      </c>
      <c r="L2">
        <v>0</v>
      </c>
      <c r="M2" t="s">
        <v>243</v>
      </c>
      <c r="N2" t="s">
        <v>244</v>
      </c>
      <c r="O2" t="s">
        <v>245</v>
      </c>
      <c r="P2" t="s">
        <v>246</v>
      </c>
      <c r="Q2" t="s">
        <v>247</v>
      </c>
    </row>
    <row r="3" spans="1:17" x14ac:dyDescent="0.25">
      <c r="A3" t="s">
        <v>237</v>
      </c>
      <c r="B3" t="s">
        <v>248</v>
      </c>
      <c r="C3" t="s">
        <v>248</v>
      </c>
      <c r="D3" t="s">
        <v>249</v>
      </c>
      <c r="E3">
        <v>1205.06</v>
      </c>
      <c r="F3">
        <v>1.63</v>
      </c>
      <c r="G3" t="s">
        <v>57</v>
      </c>
      <c r="H3">
        <v>19.64</v>
      </c>
      <c r="I3">
        <v>19.64</v>
      </c>
      <c r="J3">
        <v>19.64</v>
      </c>
      <c r="K3">
        <v>0</v>
      </c>
      <c r="L3">
        <v>0</v>
      </c>
      <c r="M3" t="s">
        <v>250</v>
      </c>
      <c r="N3" t="s">
        <v>251</v>
      </c>
      <c r="O3" t="s">
        <v>252</v>
      </c>
      <c r="P3" t="s">
        <v>253</v>
      </c>
      <c r="Q3" t="s">
        <v>254</v>
      </c>
    </row>
    <row r="4" spans="1:17" x14ac:dyDescent="0.25">
      <c r="A4" t="s">
        <v>239</v>
      </c>
      <c r="B4" t="s">
        <v>255</v>
      </c>
      <c r="C4" t="s">
        <v>255</v>
      </c>
      <c r="D4" t="s">
        <v>242</v>
      </c>
      <c r="E4" s="2">
        <v>1144.25</v>
      </c>
      <c r="F4">
        <v>1.64</v>
      </c>
      <c r="G4" t="s">
        <v>57</v>
      </c>
      <c r="H4" s="2">
        <v>18.77</v>
      </c>
      <c r="I4">
        <v>0</v>
      </c>
      <c r="J4">
        <v>0</v>
      </c>
      <c r="K4" s="2">
        <v>18.77</v>
      </c>
      <c r="L4">
        <v>18.77</v>
      </c>
      <c r="M4" t="s">
        <v>256</v>
      </c>
      <c r="N4" t="s">
        <v>257</v>
      </c>
      <c r="O4" t="s">
        <v>258</v>
      </c>
      <c r="P4" t="s">
        <v>259</v>
      </c>
      <c r="Q4" t="s">
        <v>260</v>
      </c>
    </row>
    <row r="5" spans="1:17" x14ac:dyDescent="0.25">
      <c r="A5" t="s">
        <v>239</v>
      </c>
      <c r="B5" t="s">
        <v>261</v>
      </c>
      <c r="C5" t="s">
        <v>261</v>
      </c>
      <c r="D5" t="s">
        <v>262</v>
      </c>
      <c r="E5" s="2">
        <v>1349.18</v>
      </c>
      <c r="F5">
        <v>1.65</v>
      </c>
      <c r="G5" t="s">
        <v>57</v>
      </c>
      <c r="H5" s="2">
        <v>22.26</v>
      </c>
      <c r="I5">
        <v>0</v>
      </c>
      <c r="J5">
        <v>0</v>
      </c>
      <c r="K5" s="2">
        <v>22.26</v>
      </c>
      <c r="L5">
        <v>22.26</v>
      </c>
      <c r="M5" t="s">
        <v>263</v>
      </c>
      <c r="N5" t="s">
        <v>264</v>
      </c>
      <c r="O5" t="s">
        <v>265</v>
      </c>
      <c r="P5" t="s">
        <v>266</v>
      </c>
      <c r="Q5" t="s">
        <v>267</v>
      </c>
    </row>
    <row r="6" spans="1:17" x14ac:dyDescent="0.25">
      <c r="A6" t="s">
        <v>239</v>
      </c>
      <c r="B6" t="s">
        <v>268</v>
      </c>
      <c r="C6" t="s">
        <v>268</v>
      </c>
      <c r="D6" t="s">
        <v>269</v>
      </c>
      <c r="E6" s="2">
        <v>1346.33</v>
      </c>
      <c r="F6">
        <v>1.66</v>
      </c>
      <c r="G6" t="s">
        <v>57</v>
      </c>
      <c r="H6" s="2">
        <v>22.35</v>
      </c>
      <c r="I6">
        <v>0</v>
      </c>
      <c r="J6">
        <v>0</v>
      </c>
      <c r="K6" s="2">
        <v>22.35</v>
      </c>
      <c r="L6">
        <v>22.35</v>
      </c>
      <c r="M6" t="s">
        <v>270</v>
      </c>
      <c r="N6" t="s">
        <v>271</v>
      </c>
      <c r="O6" t="s">
        <v>272</v>
      </c>
      <c r="P6" t="s">
        <v>273</v>
      </c>
      <c r="Q6" t="s">
        <v>274</v>
      </c>
    </row>
    <row r="8" spans="1:17" s="3" customFormat="1" x14ac:dyDescent="0.25">
      <c r="E8" s="3">
        <f>Items!$AU$17</f>
        <v>1144.3454255624229</v>
      </c>
      <c r="H8" s="3">
        <f>E8*F2%</f>
        <v>18.538395894111254</v>
      </c>
      <c r="I8" s="3">
        <f>H8</f>
        <v>18.538395894111254</v>
      </c>
    </row>
    <row r="9" spans="1:17" s="3" customFormat="1" x14ac:dyDescent="0.25">
      <c r="E9" s="3">
        <f>E3</f>
        <v>1205.06</v>
      </c>
      <c r="H9" s="3">
        <f>E9*F3%</f>
        <v>19.642477999999997</v>
      </c>
      <c r="I9" s="3">
        <f>H9</f>
        <v>19.642477999999997</v>
      </c>
    </row>
    <row r="10" spans="1:17" s="3" customFormat="1" x14ac:dyDescent="0.25">
      <c r="E10" s="3">
        <f>Items!$AU$17</f>
        <v>1144.3454255624229</v>
      </c>
      <c r="H10" s="3">
        <f>E10*F4%</f>
        <v>18.767264979223732</v>
      </c>
      <c r="K10" s="3">
        <f>H10</f>
        <v>18.767264979223732</v>
      </c>
    </row>
    <row r="11" spans="1:17" s="3" customFormat="1" x14ac:dyDescent="0.25">
      <c r="E11" s="3">
        <f>Items!$BB$17</f>
        <v>1349.27</v>
      </c>
      <c r="H11" s="3">
        <f>E11*F5%</f>
        <v>22.262955000000002</v>
      </c>
      <c r="K11" s="3">
        <f>H11</f>
        <v>22.262955000000002</v>
      </c>
    </row>
    <row r="12" spans="1:17" s="3" customFormat="1" x14ac:dyDescent="0.25">
      <c r="E12" s="3">
        <f>Items!$BB$17</f>
        <v>1349.27</v>
      </c>
      <c r="H12" s="3">
        <f>E12*F6%</f>
        <v>22.397881999999999</v>
      </c>
      <c r="K12" s="3">
        <f>H12</f>
        <v>22.397881999999999</v>
      </c>
    </row>
    <row r="13" spans="1:17" s="3" customFormat="1" x14ac:dyDescent="0.25"/>
    <row r="14" spans="1:17" s="3" customFormat="1" x14ac:dyDescent="0.25">
      <c r="E14" s="3">
        <f>SUM(E8:E12)</f>
        <v>6192.2908511248461</v>
      </c>
      <c r="H14" s="3">
        <f>SUM(H8:H12)</f>
        <v>101.60897587333498</v>
      </c>
      <c r="I14" s="3">
        <f>SUM(I8:I12)</f>
        <v>38.180873894111251</v>
      </c>
      <c r="K14" s="3">
        <f>SUM(K8:K12)</f>
        <v>63.428101979223726</v>
      </c>
    </row>
    <row r="15" spans="1:17" s="3" customFormat="1" x14ac:dyDescent="0.25">
      <c r="E15" s="3">
        <f>SUM(E2:E6)</f>
        <v>6189.07</v>
      </c>
      <c r="H15" s="3">
        <f>SUM(H2:H6)</f>
        <v>101.56</v>
      </c>
      <c r="I15" s="3">
        <f>SUM(I2:I6)</f>
        <v>38.18</v>
      </c>
      <c r="K15" s="3">
        <f>SUM(K2:K6)</f>
        <v>63.38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Z6"/>
  <sheetViews>
    <sheetView workbookViewId="0"/>
  </sheetViews>
  <sheetFormatPr defaultRowHeight="15" x14ac:dyDescent="0.25"/>
  <cols>
    <col min="1" max="2" width="16.7109375" bestFit="1" customWidth="1"/>
    <col min="3" max="3" width="10.140625" bestFit="1" customWidth="1"/>
    <col min="4" max="4" width="16.140625" bestFit="1" customWidth="1"/>
    <col min="5" max="5" width="5.42578125" bestFit="1" customWidth="1"/>
    <col min="6" max="6" width="8.7109375" bestFit="1" customWidth="1"/>
    <col min="7" max="7" width="11.85546875" bestFit="1" customWidth="1"/>
    <col min="8" max="8" width="8.140625" bestFit="1" customWidth="1"/>
    <col min="9" max="9" width="26.5703125" bestFit="1" customWidth="1"/>
    <col min="10" max="10" width="14.5703125" bestFit="1" customWidth="1"/>
    <col min="11" max="11" width="19.28515625" bestFit="1" customWidth="1"/>
    <col min="12" max="12" width="20.140625" bestFit="1" customWidth="1"/>
    <col min="13" max="13" width="19.42578125" bestFit="1" customWidth="1"/>
    <col min="14" max="14" width="14.42578125" bestFit="1" customWidth="1"/>
    <col min="15" max="15" width="5.42578125" bestFit="1" customWidth="1"/>
    <col min="16" max="16" width="5.28515625" bestFit="1" customWidth="1"/>
    <col min="17" max="17" width="4.85546875" bestFit="1" customWidth="1"/>
    <col min="18" max="18" width="5.140625" bestFit="1" customWidth="1"/>
    <col min="19" max="20" width="11.42578125" bestFit="1" customWidth="1"/>
    <col min="21" max="21" width="30" bestFit="1" customWidth="1"/>
    <col min="22" max="22" width="14.28515625" bestFit="1" customWidth="1"/>
    <col min="23" max="23" width="10.5703125" bestFit="1" customWidth="1"/>
    <col min="24" max="24" width="15" bestFit="1" customWidth="1"/>
    <col min="25" max="25" width="13.85546875" bestFit="1" customWidth="1"/>
    <col min="26" max="26" width="13.42578125" bestFit="1" customWidth="1"/>
  </cols>
  <sheetData>
    <row r="1" spans="1:26" x14ac:dyDescent="0.25">
      <c r="A1" t="s">
        <v>230</v>
      </c>
      <c r="B1" t="s">
        <v>231</v>
      </c>
      <c r="C1" t="s">
        <v>72</v>
      </c>
      <c r="D1" t="s">
        <v>73</v>
      </c>
      <c r="E1" t="s">
        <v>79</v>
      </c>
      <c r="F1" t="s">
        <v>84</v>
      </c>
      <c r="G1" t="s">
        <v>103</v>
      </c>
      <c r="H1" t="s">
        <v>236</v>
      </c>
      <c r="I1" t="s">
        <v>275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7</v>
      </c>
      <c r="P1" t="s">
        <v>8</v>
      </c>
      <c r="Q1" t="s">
        <v>9</v>
      </c>
      <c r="R1" t="s">
        <v>10</v>
      </c>
      <c r="S1" t="s">
        <v>110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</row>
    <row r="2" spans="1:26" x14ac:dyDescent="0.25">
      <c r="A2" t="s">
        <v>276</v>
      </c>
      <c r="B2" t="s">
        <v>276</v>
      </c>
      <c r="C2" t="s">
        <v>277</v>
      </c>
      <c r="D2" t="s">
        <v>278</v>
      </c>
      <c r="E2" t="s">
        <v>141</v>
      </c>
      <c r="F2">
        <v>1</v>
      </c>
      <c r="G2" t="s">
        <v>57</v>
      </c>
      <c r="H2">
        <v>1.49</v>
      </c>
      <c r="I2">
        <v>1.49</v>
      </c>
      <c r="J2" t="s">
        <v>279</v>
      </c>
      <c r="K2" t="s">
        <v>280</v>
      </c>
      <c r="L2" t="s">
        <v>146</v>
      </c>
      <c r="M2">
        <v>1.49</v>
      </c>
      <c r="N2">
        <v>1.5</v>
      </c>
      <c r="O2">
        <v>0.01</v>
      </c>
      <c r="P2">
        <v>0.01</v>
      </c>
      <c r="Q2">
        <v>0</v>
      </c>
      <c r="R2">
        <v>0.01</v>
      </c>
      <c r="S2">
        <v>0.03</v>
      </c>
      <c r="T2">
        <v>1.52</v>
      </c>
      <c r="U2">
        <v>1.52</v>
      </c>
      <c r="V2" t="s">
        <v>281</v>
      </c>
      <c r="W2" t="s">
        <v>282</v>
      </c>
      <c r="X2" t="s">
        <v>283</v>
      </c>
      <c r="Y2" t="s">
        <v>284</v>
      </c>
      <c r="Z2" t="s">
        <v>285</v>
      </c>
    </row>
    <row r="3" spans="1:26" x14ac:dyDescent="0.25">
      <c r="A3" t="s">
        <v>286</v>
      </c>
      <c r="B3" t="s">
        <v>286</v>
      </c>
      <c r="C3" t="s">
        <v>173</v>
      </c>
      <c r="D3" t="s">
        <v>138</v>
      </c>
      <c r="E3" t="s">
        <v>141</v>
      </c>
      <c r="F3">
        <v>1</v>
      </c>
      <c r="G3" t="s">
        <v>57</v>
      </c>
      <c r="H3">
        <v>1.45</v>
      </c>
      <c r="I3">
        <v>1.45</v>
      </c>
      <c r="J3" t="s">
        <v>177</v>
      </c>
      <c r="K3" t="s">
        <v>178</v>
      </c>
      <c r="L3" t="s">
        <v>179</v>
      </c>
      <c r="M3">
        <v>1.45</v>
      </c>
      <c r="N3">
        <v>18</v>
      </c>
      <c r="O3">
        <v>0.13</v>
      </c>
      <c r="P3">
        <v>0.13</v>
      </c>
      <c r="Q3">
        <v>0</v>
      </c>
      <c r="R3">
        <v>0.15</v>
      </c>
      <c r="S3">
        <v>0.41</v>
      </c>
      <c r="T3">
        <v>1.86</v>
      </c>
      <c r="U3">
        <v>1.86</v>
      </c>
      <c r="V3" t="s">
        <v>287</v>
      </c>
      <c r="W3" t="s">
        <v>288</v>
      </c>
      <c r="X3" t="s">
        <v>289</v>
      </c>
      <c r="Y3" t="s">
        <v>290</v>
      </c>
      <c r="Z3" t="s">
        <v>291</v>
      </c>
    </row>
    <row r="4" spans="1:26" x14ac:dyDescent="0.25">
      <c r="A4" t="s">
        <v>292</v>
      </c>
      <c r="B4" t="s">
        <v>292</v>
      </c>
      <c r="C4" t="s">
        <v>293</v>
      </c>
      <c r="D4" t="s">
        <v>138</v>
      </c>
      <c r="E4" t="s">
        <v>141</v>
      </c>
      <c r="F4">
        <v>1</v>
      </c>
      <c r="G4" t="s">
        <v>57</v>
      </c>
      <c r="H4">
        <v>1.46</v>
      </c>
      <c r="I4">
        <v>1.46</v>
      </c>
      <c r="J4" t="s">
        <v>294</v>
      </c>
      <c r="K4" t="s">
        <v>145</v>
      </c>
      <c r="L4" t="s">
        <v>146</v>
      </c>
      <c r="M4">
        <v>1.46</v>
      </c>
      <c r="N4">
        <v>12</v>
      </c>
      <c r="O4">
        <v>0.09</v>
      </c>
      <c r="P4">
        <v>0.09</v>
      </c>
      <c r="Q4">
        <v>0</v>
      </c>
      <c r="R4">
        <v>0.01</v>
      </c>
      <c r="S4">
        <v>0.19</v>
      </c>
      <c r="T4">
        <v>1.65</v>
      </c>
      <c r="U4">
        <v>1.65</v>
      </c>
      <c r="V4" t="s">
        <v>295</v>
      </c>
      <c r="W4" t="s">
        <v>296</v>
      </c>
      <c r="X4" t="s">
        <v>297</v>
      </c>
      <c r="Y4" t="s">
        <v>298</v>
      </c>
      <c r="Z4" t="s">
        <v>299</v>
      </c>
    </row>
    <row r="5" spans="1:26" x14ac:dyDescent="0.25">
      <c r="A5" t="s">
        <v>300</v>
      </c>
      <c r="B5" t="s">
        <v>300</v>
      </c>
      <c r="C5" t="s">
        <v>301</v>
      </c>
      <c r="D5" t="s">
        <v>138</v>
      </c>
      <c r="E5" t="s">
        <v>141</v>
      </c>
      <c r="F5">
        <v>1</v>
      </c>
      <c r="G5" t="s">
        <v>57</v>
      </c>
      <c r="H5">
        <v>1.47</v>
      </c>
      <c r="I5">
        <v>1.47</v>
      </c>
      <c r="J5" t="s">
        <v>302</v>
      </c>
      <c r="K5" t="s">
        <v>303</v>
      </c>
      <c r="L5" t="s">
        <v>304</v>
      </c>
      <c r="M5">
        <v>1.47</v>
      </c>
      <c r="N5">
        <v>28</v>
      </c>
      <c r="O5">
        <v>0.21</v>
      </c>
      <c r="P5">
        <v>0.21</v>
      </c>
      <c r="Q5">
        <v>0</v>
      </c>
      <c r="R5">
        <v>0.22</v>
      </c>
      <c r="S5">
        <v>0.64</v>
      </c>
      <c r="T5">
        <v>2.11</v>
      </c>
      <c r="U5">
        <v>2.11</v>
      </c>
      <c r="V5" t="s">
        <v>305</v>
      </c>
      <c r="W5" t="s">
        <v>306</v>
      </c>
      <c r="X5" t="s">
        <v>307</v>
      </c>
      <c r="Y5" t="s">
        <v>308</v>
      </c>
      <c r="Z5" t="s">
        <v>309</v>
      </c>
    </row>
    <row r="6" spans="1:26" x14ac:dyDescent="0.25">
      <c r="A6" t="s">
        <v>310</v>
      </c>
      <c r="B6" t="s">
        <v>310</v>
      </c>
      <c r="C6" t="s">
        <v>311</v>
      </c>
      <c r="D6" t="s">
        <v>138</v>
      </c>
      <c r="E6" t="s">
        <v>141</v>
      </c>
      <c r="F6">
        <v>1</v>
      </c>
      <c r="G6" t="s">
        <v>57</v>
      </c>
      <c r="H6">
        <v>1.48</v>
      </c>
      <c r="I6">
        <v>1.48</v>
      </c>
      <c r="J6" t="s">
        <v>312</v>
      </c>
      <c r="K6" t="s">
        <v>313</v>
      </c>
      <c r="L6" t="s">
        <v>146</v>
      </c>
      <c r="M6">
        <v>1.48</v>
      </c>
      <c r="N6">
        <v>3</v>
      </c>
      <c r="O6">
        <v>0.02</v>
      </c>
      <c r="P6">
        <v>0.02</v>
      </c>
      <c r="Q6">
        <v>0</v>
      </c>
      <c r="R6">
        <v>0.01</v>
      </c>
      <c r="S6">
        <v>0.05</v>
      </c>
      <c r="T6">
        <v>1.53</v>
      </c>
      <c r="U6">
        <v>1.53</v>
      </c>
      <c r="V6" t="s">
        <v>314</v>
      </c>
      <c r="W6" t="s">
        <v>315</v>
      </c>
      <c r="X6" t="s">
        <v>316</v>
      </c>
      <c r="Y6" t="s">
        <v>317</v>
      </c>
      <c r="Z6" t="s">
        <v>318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W1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8.7109375" bestFit="1" customWidth="1"/>
    <col min="13" max="13" width="23.5703125" bestFit="1" customWidth="1"/>
    <col min="14" max="14" width="19.7109375" bestFit="1" customWidth="1"/>
    <col min="15" max="15" width="11.140625" bestFit="1" customWidth="1"/>
    <col min="16" max="16" width="18.5703125" bestFit="1" customWidth="1"/>
    <col min="17" max="17" width="14.5703125" bestFit="1" customWidth="1"/>
    <col min="18" max="18" width="22" bestFit="1" customWidth="1"/>
    <col min="19" max="19" width="24.140625" bestFit="1" customWidth="1"/>
    <col min="20" max="20" width="15.7109375" bestFit="1" customWidth="1"/>
    <col min="21" max="21" width="14.85546875" bestFit="1" customWidth="1"/>
    <col min="22" max="22" width="20.85546875" bestFit="1" customWidth="1"/>
    <col min="23" max="23" width="15.7109375" bestFit="1" customWidth="1"/>
  </cols>
  <sheetData>
    <row r="1" spans="1:23" x14ac:dyDescent="0.25">
      <c r="A1" t="s">
        <v>319</v>
      </c>
      <c r="B1" t="s">
        <v>320</v>
      </c>
      <c r="C1" t="s">
        <v>106</v>
      </c>
      <c r="D1" t="s">
        <v>321</v>
      </c>
      <c r="E1" t="s">
        <v>232</v>
      </c>
      <c r="F1" t="s">
        <v>322</v>
      </c>
      <c r="G1" t="s">
        <v>323</v>
      </c>
      <c r="H1" t="s">
        <v>324</v>
      </c>
      <c r="I1" t="s">
        <v>84</v>
      </c>
      <c r="J1" t="s">
        <v>325</v>
      </c>
      <c r="K1" t="s">
        <v>326</v>
      </c>
      <c r="L1" t="s">
        <v>327</v>
      </c>
      <c r="M1" t="s">
        <v>328</v>
      </c>
      <c r="N1" t="s">
        <v>329</v>
      </c>
      <c r="O1" t="s">
        <v>330</v>
      </c>
      <c r="P1" t="s">
        <v>331</v>
      </c>
      <c r="Q1" t="s">
        <v>332</v>
      </c>
      <c r="R1" t="s">
        <v>333</v>
      </c>
      <c r="S1" t="s">
        <v>334</v>
      </c>
      <c r="T1" t="s">
        <v>335</v>
      </c>
      <c r="U1" t="s">
        <v>336</v>
      </c>
      <c r="V1" t="s">
        <v>337</v>
      </c>
      <c r="W1" t="s">
        <v>338</v>
      </c>
    </row>
    <row r="2" spans="1:23" x14ac:dyDescent="0.25">
      <c r="A2" t="s">
        <v>7</v>
      </c>
      <c r="B2" t="s">
        <v>339</v>
      </c>
      <c r="C2" t="s">
        <v>280</v>
      </c>
      <c r="D2">
        <v>0.75</v>
      </c>
      <c r="E2" t="s">
        <v>340</v>
      </c>
      <c r="F2">
        <v>0</v>
      </c>
      <c r="G2">
        <v>0</v>
      </c>
      <c r="H2">
        <v>1.49</v>
      </c>
      <c r="I2">
        <v>0</v>
      </c>
      <c r="J2">
        <v>0.01</v>
      </c>
      <c r="K2">
        <v>0.01</v>
      </c>
      <c r="L2">
        <v>0</v>
      </c>
      <c r="M2" t="s">
        <v>341</v>
      </c>
      <c r="N2" t="s">
        <v>57</v>
      </c>
      <c r="O2">
        <v>0</v>
      </c>
      <c r="P2">
        <v>0</v>
      </c>
      <c r="Q2">
        <v>0</v>
      </c>
      <c r="R2">
        <v>0</v>
      </c>
      <c r="S2" t="s">
        <v>57</v>
      </c>
      <c r="T2" t="s">
        <v>49</v>
      </c>
      <c r="U2">
        <v>0</v>
      </c>
      <c r="V2">
        <v>0</v>
      </c>
      <c r="W2">
        <v>2101</v>
      </c>
    </row>
    <row r="3" spans="1:23" x14ac:dyDescent="0.25">
      <c r="A3" t="s">
        <v>7</v>
      </c>
      <c r="B3" t="s">
        <v>339</v>
      </c>
      <c r="C3" t="s">
        <v>178</v>
      </c>
      <c r="D3">
        <v>9</v>
      </c>
      <c r="E3" t="s">
        <v>340</v>
      </c>
      <c r="F3">
        <v>0</v>
      </c>
      <c r="G3">
        <v>0</v>
      </c>
      <c r="H3">
        <v>1.45</v>
      </c>
      <c r="I3">
        <v>0</v>
      </c>
      <c r="J3">
        <v>0.13</v>
      </c>
      <c r="K3">
        <v>0.13</v>
      </c>
      <c r="L3">
        <v>0</v>
      </c>
      <c r="M3" t="s">
        <v>341</v>
      </c>
      <c r="N3" t="s">
        <v>57</v>
      </c>
      <c r="O3">
        <v>0</v>
      </c>
      <c r="P3">
        <v>0</v>
      </c>
      <c r="Q3">
        <v>0</v>
      </c>
      <c r="R3">
        <v>0</v>
      </c>
      <c r="S3" t="s">
        <v>57</v>
      </c>
      <c r="T3" t="s">
        <v>49</v>
      </c>
      <c r="U3">
        <v>0</v>
      </c>
      <c r="V3">
        <v>0</v>
      </c>
      <c r="W3">
        <v>2101</v>
      </c>
    </row>
    <row r="4" spans="1:23" x14ac:dyDescent="0.25">
      <c r="A4" t="s">
        <v>7</v>
      </c>
      <c r="B4" t="s">
        <v>339</v>
      </c>
      <c r="C4" t="s">
        <v>145</v>
      </c>
      <c r="D4">
        <v>6</v>
      </c>
      <c r="E4" t="s">
        <v>340</v>
      </c>
      <c r="F4">
        <v>0</v>
      </c>
      <c r="G4">
        <v>0</v>
      </c>
      <c r="H4">
        <v>1.46</v>
      </c>
      <c r="I4">
        <v>0</v>
      </c>
      <c r="J4">
        <v>0.09</v>
      </c>
      <c r="K4">
        <v>0.09</v>
      </c>
      <c r="L4">
        <v>0</v>
      </c>
      <c r="M4" t="s">
        <v>341</v>
      </c>
      <c r="N4" t="s">
        <v>57</v>
      </c>
      <c r="O4">
        <v>0</v>
      </c>
      <c r="P4">
        <v>0</v>
      </c>
      <c r="Q4">
        <v>0</v>
      </c>
      <c r="R4">
        <v>0</v>
      </c>
      <c r="S4" t="s">
        <v>57</v>
      </c>
      <c r="T4" t="s">
        <v>49</v>
      </c>
      <c r="U4">
        <v>0</v>
      </c>
      <c r="V4">
        <v>0</v>
      </c>
      <c r="W4">
        <v>2101</v>
      </c>
    </row>
    <row r="5" spans="1:23" x14ac:dyDescent="0.25">
      <c r="A5" t="s">
        <v>7</v>
      </c>
      <c r="B5" t="s">
        <v>339</v>
      </c>
      <c r="C5" t="s">
        <v>303</v>
      </c>
      <c r="D5">
        <v>14</v>
      </c>
      <c r="E5" t="s">
        <v>340</v>
      </c>
      <c r="F5">
        <v>0</v>
      </c>
      <c r="G5">
        <v>0</v>
      </c>
      <c r="H5">
        <v>1.47</v>
      </c>
      <c r="I5">
        <v>0</v>
      </c>
      <c r="J5">
        <v>0.21</v>
      </c>
      <c r="K5">
        <v>0.21</v>
      </c>
      <c r="L5">
        <v>0</v>
      </c>
      <c r="M5" t="s">
        <v>341</v>
      </c>
      <c r="N5" t="s">
        <v>57</v>
      </c>
      <c r="O5">
        <v>0</v>
      </c>
      <c r="P5">
        <v>0</v>
      </c>
      <c r="Q5">
        <v>0</v>
      </c>
      <c r="R5">
        <v>0</v>
      </c>
      <c r="S5" t="s">
        <v>57</v>
      </c>
      <c r="T5" t="s">
        <v>49</v>
      </c>
      <c r="U5">
        <v>0</v>
      </c>
      <c r="V5">
        <v>0</v>
      </c>
      <c r="W5">
        <v>2101</v>
      </c>
    </row>
    <row r="6" spans="1:23" x14ac:dyDescent="0.25">
      <c r="A6" t="s">
        <v>7</v>
      </c>
      <c r="B6" t="s">
        <v>339</v>
      </c>
      <c r="C6" t="s">
        <v>313</v>
      </c>
      <c r="D6">
        <v>1.5</v>
      </c>
      <c r="E6" t="s">
        <v>340</v>
      </c>
      <c r="F6">
        <v>0</v>
      </c>
      <c r="G6">
        <v>0</v>
      </c>
      <c r="H6">
        <v>1.48</v>
      </c>
      <c r="I6">
        <v>0</v>
      </c>
      <c r="J6">
        <v>0.02</v>
      </c>
      <c r="K6">
        <v>0.02</v>
      </c>
      <c r="L6">
        <v>0</v>
      </c>
      <c r="M6" t="s">
        <v>341</v>
      </c>
      <c r="N6" t="s">
        <v>57</v>
      </c>
      <c r="O6">
        <v>0</v>
      </c>
      <c r="P6">
        <v>0</v>
      </c>
      <c r="Q6">
        <v>0</v>
      </c>
      <c r="R6">
        <v>0</v>
      </c>
      <c r="S6" t="s">
        <v>57</v>
      </c>
      <c r="T6" t="s">
        <v>49</v>
      </c>
      <c r="U6">
        <v>0</v>
      </c>
      <c r="V6">
        <v>0</v>
      </c>
      <c r="W6">
        <v>2101</v>
      </c>
    </row>
    <row r="7" spans="1:23" x14ac:dyDescent="0.25">
      <c r="A7" t="s">
        <v>7</v>
      </c>
      <c r="B7" t="s">
        <v>339</v>
      </c>
      <c r="C7" t="s">
        <v>145</v>
      </c>
      <c r="D7">
        <v>6</v>
      </c>
      <c r="E7" t="s">
        <v>340</v>
      </c>
      <c r="F7">
        <v>0</v>
      </c>
      <c r="G7">
        <v>0</v>
      </c>
      <c r="H7">
        <v>265.27999999999997</v>
      </c>
      <c r="I7">
        <v>1.123</v>
      </c>
      <c r="J7">
        <v>15.92</v>
      </c>
      <c r="K7">
        <v>15.92</v>
      </c>
      <c r="L7">
        <v>0</v>
      </c>
      <c r="M7" t="s">
        <v>341</v>
      </c>
      <c r="N7" t="s">
        <v>57</v>
      </c>
      <c r="O7">
        <v>0</v>
      </c>
      <c r="P7">
        <v>0</v>
      </c>
      <c r="Q7">
        <v>0</v>
      </c>
      <c r="R7">
        <v>0</v>
      </c>
      <c r="S7" t="s">
        <v>57</v>
      </c>
      <c r="T7" t="s">
        <v>49</v>
      </c>
      <c r="U7">
        <v>0</v>
      </c>
      <c r="V7">
        <v>0</v>
      </c>
      <c r="W7">
        <v>2101</v>
      </c>
    </row>
    <row r="8" spans="1:23" x14ac:dyDescent="0.25">
      <c r="A8" t="s">
        <v>7</v>
      </c>
      <c r="B8" t="s">
        <v>339</v>
      </c>
      <c r="C8" t="s">
        <v>145</v>
      </c>
      <c r="D8">
        <v>6</v>
      </c>
      <c r="E8" t="s">
        <v>340</v>
      </c>
      <c r="F8">
        <v>0</v>
      </c>
      <c r="G8">
        <v>0</v>
      </c>
      <c r="H8">
        <v>265.48</v>
      </c>
      <c r="I8">
        <v>1.1240000000000001</v>
      </c>
      <c r="J8">
        <v>15.93</v>
      </c>
      <c r="K8">
        <v>15.93</v>
      </c>
      <c r="L8">
        <v>0</v>
      </c>
      <c r="M8" t="s">
        <v>341</v>
      </c>
      <c r="N8" t="s">
        <v>57</v>
      </c>
      <c r="O8">
        <v>0</v>
      </c>
      <c r="P8">
        <v>0</v>
      </c>
      <c r="Q8">
        <v>0</v>
      </c>
      <c r="R8">
        <v>0</v>
      </c>
      <c r="S8" t="s">
        <v>57</v>
      </c>
      <c r="T8" t="s">
        <v>49</v>
      </c>
      <c r="U8">
        <v>0</v>
      </c>
      <c r="V8">
        <v>0</v>
      </c>
      <c r="W8">
        <v>2101</v>
      </c>
    </row>
    <row r="9" spans="1:23" x14ac:dyDescent="0.25">
      <c r="A9" t="s">
        <v>7</v>
      </c>
      <c r="B9" t="s">
        <v>339</v>
      </c>
      <c r="C9" t="s">
        <v>178</v>
      </c>
      <c r="D9">
        <v>9</v>
      </c>
      <c r="E9" t="s">
        <v>340</v>
      </c>
      <c r="F9">
        <v>0</v>
      </c>
      <c r="G9">
        <v>0</v>
      </c>
      <c r="H9">
        <v>106.43</v>
      </c>
      <c r="I9">
        <v>1.1259999999999999</v>
      </c>
      <c r="J9">
        <v>9.58</v>
      </c>
      <c r="K9">
        <v>9.58</v>
      </c>
      <c r="L9">
        <v>0</v>
      </c>
      <c r="M9" t="s">
        <v>341</v>
      </c>
      <c r="N9" t="s">
        <v>57</v>
      </c>
      <c r="O9">
        <v>0</v>
      </c>
      <c r="P9">
        <v>0</v>
      </c>
      <c r="Q9">
        <v>0</v>
      </c>
      <c r="R9">
        <v>0</v>
      </c>
      <c r="S9" t="s">
        <v>57</v>
      </c>
      <c r="T9" t="s">
        <v>49</v>
      </c>
      <c r="U9">
        <v>0</v>
      </c>
      <c r="V9">
        <v>0</v>
      </c>
      <c r="W9">
        <v>2101</v>
      </c>
    </row>
    <row r="10" spans="1:23" x14ac:dyDescent="0.25">
      <c r="A10" t="s">
        <v>7</v>
      </c>
      <c r="B10" t="s">
        <v>339</v>
      </c>
      <c r="C10" t="s">
        <v>145</v>
      </c>
      <c r="D10">
        <v>6</v>
      </c>
      <c r="E10" t="s">
        <v>340</v>
      </c>
      <c r="F10">
        <v>0</v>
      </c>
      <c r="G10">
        <v>0</v>
      </c>
      <c r="H10">
        <v>239.1</v>
      </c>
      <c r="I10">
        <v>1</v>
      </c>
      <c r="J10">
        <v>14.35</v>
      </c>
      <c r="K10">
        <v>14.35</v>
      </c>
      <c r="L10">
        <v>0</v>
      </c>
      <c r="M10" t="s">
        <v>341</v>
      </c>
      <c r="N10" t="s">
        <v>57</v>
      </c>
      <c r="O10">
        <v>0</v>
      </c>
      <c r="P10">
        <v>0</v>
      </c>
      <c r="Q10">
        <v>0</v>
      </c>
      <c r="R10">
        <v>0</v>
      </c>
      <c r="S10" t="s">
        <v>57</v>
      </c>
      <c r="T10" t="s">
        <v>49</v>
      </c>
      <c r="U10">
        <v>0</v>
      </c>
      <c r="V10">
        <v>0</v>
      </c>
      <c r="W10">
        <v>2101</v>
      </c>
    </row>
    <row r="11" spans="1:23" x14ac:dyDescent="0.25">
      <c r="A11" t="s">
        <v>7</v>
      </c>
      <c r="B11" t="s">
        <v>339</v>
      </c>
      <c r="C11" t="s">
        <v>178</v>
      </c>
      <c r="D11">
        <v>9</v>
      </c>
      <c r="E11" t="s">
        <v>340</v>
      </c>
      <c r="F11">
        <v>0</v>
      </c>
      <c r="G11">
        <v>0</v>
      </c>
      <c r="H11">
        <v>267.95999999999998</v>
      </c>
      <c r="I11">
        <v>1.1200000000000001</v>
      </c>
      <c r="J11">
        <v>24.12</v>
      </c>
      <c r="K11">
        <v>24.12</v>
      </c>
      <c r="L11">
        <v>0</v>
      </c>
      <c r="M11" t="s">
        <v>341</v>
      </c>
      <c r="N11" t="s">
        <v>57</v>
      </c>
      <c r="O11">
        <v>0</v>
      </c>
      <c r="P11">
        <v>0</v>
      </c>
      <c r="Q11">
        <v>0</v>
      </c>
      <c r="R11">
        <v>0</v>
      </c>
      <c r="S11" t="s">
        <v>57</v>
      </c>
      <c r="T11" t="s">
        <v>49</v>
      </c>
      <c r="U11">
        <v>0</v>
      </c>
      <c r="V11">
        <v>0</v>
      </c>
      <c r="W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W1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18.7109375" bestFit="1" customWidth="1"/>
    <col min="12" max="12" width="23.42578125" bestFit="1" customWidth="1"/>
    <col min="13" max="13" width="29.7109375" bestFit="1" customWidth="1"/>
    <col min="14" max="14" width="19.7109375" bestFit="1" customWidth="1"/>
    <col min="15" max="15" width="11.140625" bestFit="1" customWidth="1"/>
    <col min="16" max="16" width="18.5703125" bestFit="1" customWidth="1"/>
    <col min="17" max="17" width="14.5703125" bestFit="1" customWidth="1"/>
    <col min="18" max="18" width="22" bestFit="1" customWidth="1"/>
    <col min="19" max="19" width="24.140625" bestFit="1" customWidth="1"/>
    <col min="20" max="20" width="15.7109375" bestFit="1" customWidth="1"/>
    <col min="21" max="21" width="14.85546875" bestFit="1" customWidth="1"/>
    <col min="22" max="22" width="20.85546875" bestFit="1" customWidth="1"/>
    <col min="23" max="23" width="15.7109375" bestFit="1" customWidth="1"/>
  </cols>
  <sheetData>
    <row r="1" spans="1:23" x14ac:dyDescent="0.25">
      <c r="A1" t="s">
        <v>319</v>
      </c>
      <c r="B1" t="s">
        <v>320</v>
      </c>
      <c r="C1" t="s">
        <v>106</v>
      </c>
      <c r="D1" t="s">
        <v>321</v>
      </c>
      <c r="E1" t="s">
        <v>232</v>
      </c>
      <c r="F1" t="s">
        <v>322</v>
      </c>
      <c r="G1" t="s">
        <v>323</v>
      </c>
      <c r="H1" t="s">
        <v>324</v>
      </c>
      <c r="I1" t="s">
        <v>84</v>
      </c>
      <c r="J1" t="s">
        <v>325</v>
      </c>
      <c r="K1" t="s">
        <v>327</v>
      </c>
      <c r="L1" t="s">
        <v>328</v>
      </c>
      <c r="M1" t="s">
        <v>326</v>
      </c>
      <c r="N1" t="s">
        <v>329</v>
      </c>
      <c r="O1" t="s">
        <v>330</v>
      </c>
      <c r="P1" t="s">
        <v>331</v>
      </c>
      <c r="Q1" t="s">
        <v>332</v>
      </c>
      <c r="R1" t="s">
        <v>333</v>
      </c>
      <c r="S1" t="s">
        <v>334</v>
      </c>
      <c r="T1" t="s">
        <v>335</v>
      </c>
      <c r="U1" t="s">
        <v>336</v>
      </c>
      <c r="V1" t="s">
        <v>337</v>
      </c>
      <c r="W1" t="s">
        <v>338</v>
      </c>
    </row>
    <row r="2" spans="1:23" x14ac:dyDescent="0.25">
      <c r="A2" t="s">
        <v>8</v>
      </c>
      <c r="B2" t="s">
        <v>339</v>
      </c>
      <c r="C2" t="s">
        <v>280</v>
      </c>
      <c r="D2">
        <v>0.75</v>
      </c>
      <c r="E2" t="s">
        <v>340</v>
      </c>
      <c r="F2">
        <v>0</v>
      </c>
      <c r="G2">
        <v>0</v>
      </c>
      <c r="H2">
        <v>1.49</v>
      </c>
      <c r="I2">
        <v>0</v>
      </c>
      <c r="J2">
        <v>0.01</v>
      </c>
      <c r="K2">
        <v>0</v>
      </c>
      <c r="L2" t="s">
        <v>342</v>
      </c>
      <c r="M2">
        <v>0.01</v>
      </c>
      <c r="N2" t="s">
        <v>57</v>
      </c>
      <c r="O2">
        <v>0</v>
      </c>
      <c r="P2">
        <v>0</v>
      </c>
      <c r="Q2">
        <v>0</v>
      </c>
      <c r="R2">
        <v>0</v>
      </c>
      <c r="S2" t="s">
        <v>57</v>
      </c>
      <c r="T2" t="s">
        <v>49</v>
      </c>
      <c r="U2">
        <v>0</v>
      </c>
      <c r="V2">
        <v>0</v>
      </c>
      <c r="W2">
        <v>2102</v>
      </c>
    </row>
    <row r="3" spans="1:23" x14ac:dyDescent="0.25">
      <c r="A3" t="s">
        <v>8</v>
      </c>
      <c r="B3" t="s">
        <v>339</v>
      </c>
      <c r="C3" t="s">
        <v>178</v>
      </c>
      <c r="D3">
        <v>9</v>
      </c>
      <c r="E3" t="s">
        <v>340</v>
      </c>
      <c r="F3">
        <v>0</v>
      </c>
      <c r="G3">
        <v>0</v>
      </c>
      <c r="H3">
        <v>1.45</v>
      </c>
      <c r="I3">
        <v>0</v>
      </c>
      <c r="J3">
        <v>0.13</v>
      </c>
      <c r="K3">
        <v>0</v>
      </c>
      <c r="L3" t="s">
        <v>342</v>
      </c>
      <c r="M3">
        <v>0.13</v>
      </c>
      <c r="N3" t="s">
        <v>57</v>
      </c>
      <c r="O3">
        <v>0</v>
      </c>
      <c r="P3">
        <v>0</v>
      </c>
      <c r="Q3">
        <v>0</v>
      </c>
      <c r="R3">
        <v>0</v>
      </c>
      <c r="S3" t="s">
        <v>57</v>
      </c>
      <c r="T3" t="s">
        <v>49</v>
      </c>
      <c r="U3">
        <v>0</v>
      </c>
      <c r="V3">
        <v>0</v>
      </c>
      <c r="W3">
        <v>2102</v>
      </c>
    </row>
    <row r="4" spans="1:23" x14ac:dyDescent="0.25">
      <c r="A4" t="s">
        <v>8</v>
      </c>
      <c r="B4" t="s">
        <v>339</v>
      </c>
      <c r="C4" t="s">
        <v>145</v>
      </c>
      <c r="D4">
        <v>6</v>
      </c>
      <c r="E4" t="s">
        <v>340</v>
      </c>
      <c r="F4">
        <v>0</v>
      </c>
      <c r="G4">
        <v>0</v>
      </c>
      <c r="H4">
        <v>1.46</v>
      </c>
      <c r="I4">
        <v>0</v>
      </c>
      <c r="J4">
        <v>0.09</v>
      </c>
      <c r="K4">
        <v>0</v>
      </c>
      <c r="L4" t="s">
        <v>342</v>
      </c>
      <c r="M4">
        <v>0.09</v>
      </c>
      <c r="N4" t="s">
        <v>57</v>
      </c>
      <c r="O4">
        <v>0</v>
      </c>
      <c r="P4">
        <v>0</v>
      </c>
      <c r="Q4">
        <v>0</v>
      </c>
      <c r="R4">
        <v>0</v>
      </c>
      <c r="S4" t="s">
        <v>57</v>
      </c>
      <c r="T4" t="s">
        <v>49</v>
      </c>
      <c r="U4">
        <v>0</v>
      </c>
      <c r="V4">
        <v>0</v>
      </c>
      <c r="W4">
        <v>2102</v>
      </c>
    </row>
    <row r="5" spans="1:23" x14ac:dyDescent="0.25">
      <c r="A5" t="s">
        <v>8</v>
      </c>
      <c r="B5" t="s">
        <v>339</v>
      </c>
      <c r="C5" t="s">
        <v>303</v>
      </c>
      <c r="D5">
        <v>14</v>
      </c>
      <c r="E5" t="s">
        <v>340</v>
      </c>
      <c r="F5">
        <v>0</v>
      </c>
      <c r="G5">
        <v>0</v>
      </c>
      <c r="H5">
        <v>1.47</v>
      </c>
      <c r="I5">
        <v>0</v>
      </c>
      <c r="J5">
        <v>0.21</v>
      </c>
      <c r="K5">
        <v>0</v>
      </c>
      <c r="L5" t="s">
        <v>342</v>
      </c>
      <c r="M5">
        <v>0.21</v>
      </c>
      <c r="N5" t="s">
        <v>57</v>
      </c>
      <c r="O5">
        <v>0</v>
      </c>
      <c r="P5">
        <v>0</v>
      </c>
      <c r="Q5">
        <v>0</v>
      </c>
      <c r="R5">
        <v>0</v>
      </c>
      <c r="S5" t="s">
        <v>57</v>
      </c>
      <c r="T5" t="s">
        <v>49</v>
      </c>
      <c r="U5">
        <v>0</v>
      </c>
      <c r="V5">
        <v>0</v>
      </c>
      <c r="W5">
        <v>2102</v>
      </c>
    </row>
    <row r="6" spans="1:23" x14ac:dyDescent="0.25">
      <c r="A6" t="s">
        <v>8</v>
      </c>
      <c r="B6" t="s">
        <v>339</v>
      </c>
      <c r="C6" t="s">
        <v>313</v>
      </c>
      <c r="D6">
        <v>1.5</v>
      </c>
      <c r="E6" t="s">
        <v>340</v>
      </c>
      <c r="F6">
        <v>0</v>
      </c>
      <c r="G6">
        <v>0</v>
      </c>
      <c r="H6">
        <v>1.48</v>
      </c>
      <c r="I6">
        <v>0</v>
      </c>
      <c r="J6">
        <v>0.02</v>
      </c>
      <c r="K6">
        <v>0</v>
      </c>
      <c r="L6" t="s">
        <v>342</v>
      </c>
      <c r="M6">
        <v>0.02</v>
      </c>
      <c r="N6" t="s">
        <v>57</v>
      </c>
      <c r="O6">
        <v>0</v>
      </c>
      <c r="P6">
        <v>0</v>
      </c>
      <c r="Q6">
        <v>0</v>
      </c>
      <c r="R6">
        <v>0</v>
      </c>
      <c r="S6" t="s">
        <v>57</v>
      </c>
      <c r="T6" t="s">
        <v>49</v>
      </c>
      <c r="U6">
        <v>0</v>
      </c>
      <c r="V6">
        <v>0</v>
      </c>
      <c r="W6">
        <v>2102</v>
      </c>
    </row>
    <row r="7" spans="1:23" x14ac:dyDescent="0.25">
      <c r="A7" t="s">
        <v>8</v>
      </c>
      <c r="B7" t="s">
        <v>339</v>
      </c>
      <c r="C7" t="s">
        <v>145</v>
      </c>
      <c r="D7">
        <v>6</v>
      </c>
      <c r="E7" t="s">
        <v>340</v>
      </c>
      <c r="F7">
        <v>0</v>
      </c>
      <c r="G7">
        <v>0</v>
      </c>
      <c r="H7">
        <v>265.27999999999997</v>
      </c>
      <c r="I7">
        <v>1.123</v>
      </c>
      <c r="J7">
        <v>15.92</v>
      </c>
      <c r="K7">
        <v>0</v>
      </c>
      <c r="L7" t="s">
        <v>342</v>
      </c>
      <c r="M7">
        <v>15.92</v>
      </c>
      <c r="N7" t="s">
        <v>57</v>
      </c>
      <c r="O7">
        <v>0</v>
      </c>
      <c r="P7">
        <v>0</v>
      </c>
      <c r="Q7">
        <v>0</v>
      </c>
      <c r="R7">
        <v>0</v>
      </c>
      <c r="S7" t="s">
        <v>57</v>
      </c>
      <c r="T7" t="s">
        <v>49</v>
      </c>
      <c r="U7">
        <v>0</v>
      </c>
      <c r="V7">
        <v>0</v>
      </c>
      <c r="W7">
        <v>2102</v>
      </c>
    </row>
    <row r="8" spans="1:23" x14ac:dyDescent="0.25">
      <c r="A8" t="s">
        <v>8</v>
      </c>
      <c r="B8" t="s">
        <v>339</v>
      </c>
      <c r="C8" t="s">
        <v>145</v>
      </c>
      <c r="D8">
        <v>6</v>
      </c>
      <c r="E8" t="s">
        <v>340</v>
      </c>
      <c r="F8">
        <v>0</v>
      </c>
      <c r="G8">
        <v>0</v>
      </c>
      <c r="H8">
        <v>265.48</v>
      </c>
      <c r="I8">
        <v>1.1240000000000001</v>
      </c>
      <c r="J8">
        <v>15.93</v>
      </c>
      <c r="K8">
        <v>0</v>
      </c>
      <c r="L8" t="s">
        <v>342</v>
      </c>
      <c r="M8">
        <v>15.93</v>
      </c>
      <c r="N8" t="s">
        <v>57</v>
      </c>
      <c r="O8">
        <v>0</v>
      </c>
      <c r="P8">
        <v>0</v>
      </c>
      <c r="Q8">
        <v>0</v>
      </c>
      <c r="R8">
        <v>0</v>
      </c>
      <c r="S8" t="s">
        <v>57</v>
      </c>
      <c r="T8" t="s">
        <v>49</v>
      </c>
      <c r="U8">
        <v>0</v>
      </c>
      <c r="V8">
        <v>0</v>
      </c>
      <c r="W8">
        <v>2102</v>
      </c>
    </row>
    <row r="9" spans="1:23" x14ac:dyDescent="0.25">
      <c r="A9" t="s">
        <v>8</v>
      </c>
      <c r="B9" t="s">
        <v>339</v>
      </c>
      <c r="C9" t="s">
        <v>178</v>
      </c>
      <c r="D9">
        <v>9</v>
      </c>
      <c r="E9" t="s">
        <v>340</v>
      </c>
      <c r="F9">
        <v>0</v>
      </c>
      <c r="G9">
        <v>0</v>
      </c>
      <c r="H9">
        <v>106.43</v>
      </c>
      <c r="I9">
        <v>1.1259999999999999</v>
      </c>
      <c r="J9">
        <v>9.58</v>
      </c>
      <c r="K9">
        <v>0</v>
      </c>
      <c r="L9" t="s">
        <v>342</v>
      </c>
      <c r="M9">
        <v>9.58</v>
      </c>
      <c r="N9" t="s">
        <v>57</v>
      </c>
      <c r="O9">
        <v>0</v>
      </c>
      <c r="P9">
        <v>0</v>
      </c>
      <c r="Q9">
        <v>0</v>
      </c>
      <c r="R9">
        <v>0</v>
      </c>
      <c r="S9" t="s">
        <v>57</v>
      </c>
      <c r="T9" t="s">
        <v>49</v>
      </c>
      <c r="U9">
        <v>0</v>
      </c>
      <c r="V9">
        <v>0</v>
      </c>
      <c r="W9">
        <v>2102</v>
      </c>
    </row>
    <row r="10" spans="1:23" x14ac:dyDescent="0.25">
      <c r="A10" t="s">
        <v>8</v>
      </c>
      <c r="B10" t="s">
        <v>339</v>
      </c>
      <c r="C10" t="s">
        <v>145</v>
      </c>
      <c r="D10">
        <v>6</v>
      </c>
      <c r="E10" t="s">
        <v>340</v>
      </c>
      <c r="F10">
        <v>0</v>
      </c>
      <c r="G10">
        <v>0</v>
      </c>
      <c r="H10">
        <v>239.1</v>
      </c>
      <c r="I10">
        <v>1</v>
      </c>
      <c r="J10">
        <v>14.35</v>
      </c>
      <c r="K10">
        <v>0</v>
      </c>
      <c r="L10" t="s">
        <v>342</v>
      </c>
      <c r="M10">
        <v>14.35</v>
      </c>
      <c r="N10" t="s">
        <v>57</v>
      </c>
      <c r="O10">
        <v>0</v>
      </c>
      <c r="P10">
        <v>0</v>
      </c>
      <c r="Q10">
        <v>0</v>
      </c>
      <c r="R10">
        <v>0</v>
      </c>
      <c r="S10" t="s">
        <v>57</v>
      </c>
      <c r="T10" t="s">
        <v>49</v>
      </c>
      <c r="U10">
        <v>0</v>
      </c>
      <c r="V10">
        <v>0</v>
      </c>
      <c r="W10">
        <v>2102</v>
      </c>
    </row>
    <row r="11" spans="1:23" x14ac:dyDescent="0.25">
      <c r="A11" t="s">
        <v>8</v>
      </c>
      <c r="B11" t="s">
        <v>339</v>
      </c>
      <c r="C11" t="s">
        <v>178</v>
      </c>
      <c r="D11">
        <v>9</v>
      </c>
      <c r="E11" t="s">
        <v>340</v>
      </c>
      <c r="F11">
        <v>0</v>
      </c>
      <c r="G11">
        <v>0</v>
      </c>
      <c r="H11">
        <v>267.95999999999998</v>
      </c>
      <c r="I11">
        <v>1.1200000000000001</v>
      </c>
      <c r="J11">
        <v>24.12</v>
      </c>
      <c r="K11">
        <v>0</v>
      </c>
      <c r="L11" t="s">
        <v>342</v>
      </c>
      <c r="M11">
        <v>24.12</v>
      </c>
      <c r="N11" t="s">
        <v>57</v>
      </c>
      <c r="O11">
        <v>0</v>
      </c>
      <c r="P11">
        <v>0</v>
      </c>
      <c r="Q11">
        <v>0</v>
      </c>
      <c r="R11">
        <v>0</v>
      </c>
      <c r="S11" t="s">
        <v>57</v>
      </c>
      <c r="T11" t="s">
        <v>49</v>
      </c>
      <c r="U11">
        <v>0</v>
      </c>
      <c r="V11">
        <v>0</v>
      </c>
      <c r="W11">
        <v>2102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W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8.7109375" bestFit="1" customWidth="1"/>
    <col min="13" max="13" width="11.140625" bestFit="1" customWidth="1"/>
    <col min="14" max="14" width="19.7109375" bestFit="1" customWidth="1"/>
    <col min="15" max="15" width="11.140625" bestFit="1" customWidth="1"/>
    <col min="16" max="16" width="18.5703125" bestFit="1" customWidth="1"/>
    <col min="17" max="17" width="14.5703125" bestFit="1" customWidth="1"/>
    <col min="18" max="18" width="22" bestFit="1" customWidth="1"/>
    <col min="19" max="19" width="24.140625" bestFit="1" customWidth="1"/>
    <col min="20" max="20" width="15.7109375" bestFit="1" customWidth="1"/>
    <col min="21" max="21" width="14.85546875" bestFit="1" customWidth="1"/>
    <col min="22" max="22" width="20.85546875" bestFit="1" customWidth="1"/>
    <col min="23" max="23" width="15.7109375" bestFit="1" customWidth="1"/>
  </cols>
  <sheetData>
    <row r="1" spans="1:23" x14ac:dyDescent="0.25">
      <c r="A1" t="s">
        <v>319</v>
      </c>
      <c r="B1" t="s">
        <v>320</v>
      </c>
      <c r="C1" t="s">
        <v>106</v>
      </c>
      <c r="D1" t="s">
        <v>321</v>
      </c>
      <c r="E1" t="s">
        <v>232</v>
      </c>
      <c r="F1" t="s">
        <v>322</v>
      </c>
      <c r="G1" t="s">
        <v>323</v>
      </c>
      <c r="H1" t="s">
        <v>324</v>
      </c>
      <c r="I1" t="s">
        <v>84</v>
      </c>
      <c r="J1" t="s">
        <v>325</v>
      </c>
      <c r="K1" t="s">
        <v>326</v>
      </c>
      <c r="L1" t="s">
        <v>327</v>
      </c>
      <c r="M1" t="s">
        <v>328</v>
      </c>
      <c r="N1" t="s">
        <v>329</v>
      </c>
      <c r="O1" t="s">
        <v>330</v>
      </c>
      <c r="P1" t="s">
        <v>331</v>
      </c>
      <c r="Q1" t="s">
        <v>332</v>
      </c>
      <c r="R1" t="s">
        <v>333</v>
      </c>
      <c r="S1" t="s">
        <v>334</v>
      </c>
      <c r="T1" t="s">
        <v>335</v>
      </c>
      <c r="U1" t="s">
        <v>336</v>
      </c>
      <c r="V1" t="s">
        <v>337</v>
      </c>
      <c r="W1" t="s">
        <v>338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W1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6" bestFit="1" customWidth="1"/>
    <col min="9" max="9" width="8.7109375" bestFit="1" customWidth="1"/>
    <col min="10" max="10" width="11.140625" bestFit="1" customWidth="1"/>
    <col min="11" max="11" width="29.7109375" bestFit="1" customWidth="1"/>
    <col min="12" max="12" width="18.7109375" bestFit="1" customWidth="1"/>
    <col min="13" max="13" width="27" bestFit="1" customWidth="1"/>
    <col min="14" max="14" width="19.7109375" bestFit="1" customWidth="1"/>
    <col min="15" max="15" width="11.140625" bestFit="1" customWidth="1"/>
    <col min="16" max="16" width="18.5703125" bestFit="1" customWidth="1"/>
    <col min="17" max="17" width="14.5703125" bestFit="1" customWidth="1"/>
    <col min="18" max="18" width="22" bestFit="1" customWidth="1"/>
    <col min="19" max="19" width="24.140625" bestFit="1" customWidth="1"/>
    <col min="20" max="20" width="15.7109375" bestFit="1" customWidth="1"/>
    <col min="21" max="21" width="14.85546875" bestFit="1" customWidth="1"/>
    <col min="22" max="22" width="20.85546875" bestFit="1" customWidth="1"/>
    <col min="23" max="23" width="15.7109375" bestFit="1" customWidth="1"/>
  </cols>
  <sheetData>
    <row r="1" spans="1:23" x14ac:dyDescent="0.25">
      <c r="A1" t="s">
        <v>319</v>
      </c>
      <c r="B1" t="s">
        <v>320</v>
      </c>
      <c r="C1" t="s">
        <v>106</v>
      </c>
      <c r="D1" t="s">
        <v>321</v>
      </c>
      <c r="E1" t="s">
        <v>232</v>
      </c>
      <c r="F1" t="s">
        <v>322</v>
      </c>
      <c r="G1" t="s">
        <v>323</v>
      </c>
      <c r="H1" t="s">
        <v>324</v>
      </c>
      <c r="I1" t="s">
        <v>84</v>
      </c>
      <c r="J1" t="s">
        <v>325</v>
      </c>
      <c r="K1" t="s">
        <v>326</v>
      </c>
      <c r="L1" t="s">
        <v>327</v>
      </c>
      <c r="M1" t="s">
        <v>328</v>
      </c>
      <c r="N1" t="s">
        <v>329</v>
      </c>
      <c r="O1" t="s">
        <v>330</v>
      </c>
      <c r="P1" t="s">
        <v>331</v>
      </c>
      <c r="Q1" t="s">
        <v>332</v>
      </c>
      <c r="R1" t="s">
        <v>333</v>
      </c>
      <c r="S1" t="s">
        <v>334</v>
      </c>
      <c r="T1" t="s">
        <v>335</v>
      </c>
      <c r="U1" t="s">
        <v>336</v>
      </c>
      <c r="V1" t="s">
        <v>337</v>
      </c>
      <c r="W1" t="s">
        <v>338</v>
      </c>
    </row>
    <row r="2" spans="1:23" x14ac:dyDescent="0.25">
      <c r="A2" t="s">
        <v>10</v>
      </c>
      <c r="B2" t="s">
        <v>339</v>
      </c>
      <c r="C2" t="s">
        <v>146</v>
      </c>
      <c r="D2">
        <v>1</v>
      </c>
      <c r="E2" t="s">
        <v>340</v>
      </c>
      <c r="F2">
        <v>0</v>
      </c>
      <c r="G2">
        <v>0</v>
      </c>
      <c r="H2">
        <v>1.49</v>
      </c>
      <c r="I2">
        <v>0</v>
      </c>
      <c r="J2">
        <v>0.01</v>
      </c>
      <c r="K2">
        <v>0.01</v>
      </c>
      <c r="L2">
        <v>0</v>
      </c>
      <c r="M2" t="s">
        <v>343</v>
      </c>
      <c r="N2" t="s">
        <v>57</v>
      </c>
      <c r="O2">
        <v>0</v>
      </c>
      <c r="P2">
        <v>0</v>
      </c>
      <c r="Q2">
        <v>0</v>
      </c>
      <c r="R2">
        <v>0</v>
      </c>
      <c r="S2" t="s">
        <v>57</v>
      </c>
      <c r="T2" t="s">
        <v>49</v>
      </c>
      <c r="U2">
        <v>0</v>
      </c>
      <c r="V2">
        <v>0</v>
      </c>
      <c r="W2">
        <v>2101</v>
      </c>
    </row>
    <row r="3" spans="1:23" x14ac:dyDescent="0.25">
      <c r="A3" t="s">
        <v>10</v>
      </c>
      <c r="B3" t="s">
        <v>339</v>
      </c>
      <c r="C3" t="s">
        <v>179</v>
      </c>
      <c r="D3">
        <v>10</v>
      </c>
      <c r="E3" t="s">
        <v>340</v>
      </c>
      <c r="F3">
        <v>0</v>
      </c>
      <c r="G3">
        <v>0</v>
      </c>
      <c r="H3">
        <v>1.45</v>
      </c>
      <c r="I3">
        <v>0</v>
      </c>
      <c r="J3">
        <v>0.15</v>
      </c>
      <c r="K3">
        <v>0.15</v>
      </c>
      <c r="L3">
        <v>0</v>
      </c>
      <c r="M3" t="s">
        <v>343</v>
      </c>
      <c r="N3" t="s">
        <v>57</v>
      </c>
      <c r="O3">
        <v>0</v>
      </c>
      <c r="P3">
        <v>0</v>
      </c>
      <c r="Q3">
        <v>0</v>
      </c>
      <c r="R3">
        <v>0</v>
      </c>
      <c r="S3" t="s">
        <v>57</v>
      </c>
      <c r="T3" t="s">
        <v>49</v>
      </c>
      <c r="U3">
        <v>0</v>
      </c>
      <c r="V3">
        <v>0</v>
      </c>
      <c r="W3">
        <v>2101</v>
      </c>
    </row>
    <row r="4" spans="1:23" x14ac:dyDescent="0.25">
      <c r="A4" t="s">
        <v>10</v>
      </c>
      <c r="B4" t="s">
        <v>339</v>
      </c>
      <c r="C4" t="s">
        <v>146</v>
      </c>
      <c r="D4">
        <v>1</v>
      </c>
      <c r="E4" t="s">
        <v>340</v>
      </c>
      <c r="F4">
        <v>0</v>
      </c>
      <c r="G4">
        <v>0</v>
      </c>
      <c r="H4">
        <v>1.46</v>
      </c>
      <c r="I4">
        <v>0</v>
      </c>
      <c r="J4">
        <v>0.01</v>
      </c>
      <c r="K4">
        <v>0.01</v>
      </c>
      <c r="L4">
        <v>0</v>
      </c>
      <c r="M4" t="s">
        <v>343</v>
      </c>
      <c r="N4" t="s">
        <v>57</v>
      </c>
      <c r="O4">
        <v>0</v>
      </c>
      <c r="P4">
        <v>0</v>
      </c>
      <c r="Q4">
        <v>0</v>
      </c>
      <c r="R4">
        <v>0</v>
      </c>
      <c r="S4" t="s">
        <v>57</v>
      </c>
      <c r="T4" t="s">
        <v>49</v>
      </c>
      <c r="U4">
        <v>0</v>
      </c>
      <c r="V4">
        <v>0</v>
      </c>
      <c r="W4">
        <v>2101</v>
      </c>
    </row>
    <row r="5" spans="1:23" x14ac:dyDescent="0.25">
      <c r="A5" t="s">
        <v>10</v>
      </c>
      <c r="B5" t="s">
        <v>339</v>
      </c>
      <c r="C5" t="s">
        <v>304</v>
      </c>
      <c r="D5">
        <v>15</v>
      </c>
      <c r="E5" t="s">
        <v>340</v>
      </c>
      <c r="F5">
        <v>0</v>
      </c>
      <c r="G5">
        <v>0</v>
      </c>
      <c r="H5">
        <v>1.47</v>
      </c>
      <c r="I5">
        <v>0</v>
      </c>
      <c r="J5">
        <v>0.22</v>
      </c>
      <c r="K5">
        <v>0.22</v>
      </c>
      <c r="L5">
        <v>0</v>
      </c>
      <c r="M5" t="s">
        <v>343</v>
      </c>
      <c r="N5" t="s">
        <v>57</v>
      </c>
      <c r="O5">
        <v>0</v>
      </c>
      <c r="P5">
        <v>0</v>
      </c>
      <c r="Q5">
        <v>0</v>
      </c>
      <c r="R5">
        <v>0</v>
      </c>
      <c r="S5" t="s">
        <v>57</v>
      </c>
      <c r="T5" t="s">
        <v>49</v>
      </c>
      <c r="U5">
        <v>0</v>
      </c>
      <c r="V5">
        <v>0</v>
      </c>
      <c r="W5">
        <v>2101</v>
      </c>
    </row>
    <row r="6" spans="1:23" x14ac:dyDescent="0.25">
      <c r="A6" t="s">
        <v>10</v>
      </c>
      <c r="B6" t="s">
        <v>339</v>
      </c>
      <c r="C6" t="s">
        <v>146</v>
      </c>
      <c r="D6">
        <v>1</v>
      </c>
      <c r="E6" t="s">
        <v>340</v>
      </c>
      <c r="F6">
        <v>0</v>
      </c>
      <c r="G6">
        <v>0</v>
      </c>
      <c r="H6">
        <v>1.48</v>
      </c>
      <c r="I6">
        <v>0</v>
      </c>
      <c r="J6">
        <v>0.01</v>
      </c>
      <c r="K6">
        <v>0.01</v>
      </c>
      <c r="L6">
        <v>0</v>
      </c>
      <c r="M6" t="s">
        <v>343</v>
      </c>
      <c r="N6" t="s">
        <v>57</v>
      </c>
      <c r="O6">
        <v>0</v>
      </c>
      <c r="P6">
        <v>0</v>
      </c>
      <c r="Q6">
        <v>0</v>
      </c>
      <c r="R6">
        <v>0</v>
      </c>
      <c r="S6" t="s">
        <v>57</v>
      </c>
      <c r="T6" t="s">
        <v>49</v>
      </c>
      <c r="U6">
        <v>0</v>
      </c>
      <c r="V6">
        <v>0</v>
      </c>
      <c r="W6">
        <v>2101</v>
      </c>
    </row>
    <row r="7" spans="1:23" x14ac:dyDescent="0.25">
      <c r="A7" t="s">
        <v>10</v>
      </c>
      <c r="B7" t="s">
        <v>339</v>
      </c>
      <c r="C7" t="s">
        <v>146</v>
      </c>
      <c r="D7">
        <v>1</v>
      </c>
      <c r="E7" t="s">
        <v>340</v>
      </c>
      <c r="F7">
        <v>0</v>
      </c>
      <c r="G7">
        <v>0</v>
      </c>
      <c r="H7">
        <v>265.27999999999997</v>
      </c>
      <c r="I7">
        <v>1.123</v>
      </c>
      <c r="J7">
        <v>2.65</v>
      </c>
      <c r="K7">
        <v>2.65</v>
      </c>
      <c r="L7">
        <v>0</v>
      </c>
      <c r="M7" t="s">
        <v>343</v>
      </c>
      <c r="N7" t="s">
        <v>57</v>
      </c>
      <c r="O7">
        <v>0</v>
      </c>
      <c r="P7">
        <v>0</v>
      </c>
      <c r="Q7">
        <v>0</v>
      </c>
      <c r="R7">
        <v>0</v>
      </c>
      <c r="S7" t="s">
        <v>57</v>
      </c>
      <c r="T7" t="s">
        <v>49</v>
      </c>
      <c r="U7">
        <v>0</v>
      </c>
      <c r="V7">
        <v>0</v>
      </c>
      <c r="W7">
        <v>2101</v>
      </c>
    </row>
    <row r="8" spans="1:23" x14ac:dyDescent="0.25">
      <c r="A8" t="s">
        <v>10</v>
      </c>
      <c r="B8" t="s">
        <v>339</v>
      </c>
      <c r="C8" t="s">
        <v>146</v>
      </c>
      <c r="D8">
        <v>1</v>
      </c>
      <c r="E8" t="s">
        <v>340</v>
      </c>
      <c r="F8">
        <v>0</v>
      </c>
      <c r="G8">
        <v>0</v>
      </c>
      <c r="H8">
        <v>265.48</v>
      </c>
      <c r="I8">
        <v>1.1240000000000001</v>
      </c>
      <c r="J8">
        <v>2.65</v>
      </c>
      <c r="K8">
        <v>2.65</v>
      </c>
      <c r="L8">
        <v>0</v>
      </c>
      <c r="M8" t="s">
        <v>343</v>
      </c>
      <c r="N8" t="s">
        <v>57</v>
      </c>
      <c r="O8">
        <v>0</v>
      </c>
      <c r="P8">
        <v>0</v>
      </c>
      <c r="Q8">
        <v>0</v>
      </c>
      <c r="R8">
        <v>0</v>
      </c>
      <c r="S8" t="s">
        <v>57</v>
      </c>
      <c r="T8" t="s">
        <v>49</v>
      </c>
      <c r="U8">
        <v>0</v>
      </c>
      <c r="V8">
        <v>0</v>
      </c>
      <c r="W8">
        <v>2101</v>
      </c>
    </row>
    <row r="9" spans="1:23" x14ac:dyDescent="0.25">
      <c r="A9" t="s">
        <v>10</v>
      </c>
      <c r="B9" t="s">
        <v>339</v>
      </c>
      <c r="C9" t="s">
        <v>179</v>
      </c>
      <c r="D9">
        <v>10</v>
      </c>
      <c r="E9" t="s">
        <v>340</v>
      </c>
      <c r="F9">
        <v>0</v>
      </c>
      <c r="G9">
        <v>0</v>
      </c>
      <c r="H9">
        <v>106.43</v>
      </c>
      <c r="I9">
        <v>1.1259999999999999</v>
      </c>
      <c r="J9">
        <v>10.64</v>
      </c>
      <c r="K9">
        <v>10.64</v>
      </c>
      <c r="L9">
        <v>0</v>
      </c>
      <c r="M9" t="s">
        <v>343</v>
      </c>
      <c r="N9" t="s">
        <v>57</v>
      </c>
      <c r="O9">
        <v>0</v>
      </c>
      <c r="P9">
        <v>0</v>
      </c>
      <c r="Q9">
        <v>0</v>
      </c>
      <c r="R9">
        <v>0</v>
      </c>
      <c r="S9" t="s">
        <v>57</v>
      </c>
      <c r="T9" t="s">
        <v>49</v>
      </c>
      <c r="U9">
        <v>0</v>
      </c>
      <c r="V9">
        <v>0</v>
      </c>
      <c r="W9">
        <v>2101</v>
      </c>
    </row>
    <row r="10" spans="1:23" x14ac:dyDescent="0.25">
      <c r="A10" t="s">
        <v>10</v>
      </c>
      <c r="B10" t="s">
        <v>339</v>
      </c>
      <c r="C10" t="s">
        <v>146</v>
      </c>
      <c r="D10">
        <v>1</v>
      </c>
      <c r="E10" t="s">
        <v>340</v>
      </c>
      <c r="F10">
        <v>0</v>
      </c>
      <c r="G10">
        <v>0</v>
      </c>
      <c r="H10">
        <v>239.1</v>
      </c>
      <c r="I10">
        <v>1</v>
      </c>
      <c r="J10">
        <v>2.39</v>
      </c>
      <c r="K10">
        <v>2.39</v>
      </c>
      <c r="L10">
        <v>0</v>
      </c>
      <c r="M10" t="s">
        <v>343</v>
      </c>
      <c r="N10" t="s">
        <v>57</v>
      </c>
      <c r="O10">
        <v>0</v>
      </c>
      <c r="P10">
        <v>0</v>
      </c>
      <c r="Q10">
        <v>0</v>
      </c>
      <c r="R10">
        <v>0</v>
      </c>
      <c r="S10" t="s">
        <v>57</v>
      </c>
      <c r="T10" t="s">
        <v>49</v>
      </c>
      <c r="U10">
        <v>0</v>
      </c>
      <c r="V10">
        <v>0</v>
      </c>
      <c r="W10">
        <v>2101</v>
      </c>
    </row>
    <row r="11" spans="1:23" x14ac:dyDescent="0.25">
      <c r="A11" t="s">
        <v>10</v>
      </c>
      <c r="B11" t="s">
        <v>339</v>
      </c>
      <c r="C11" t="s">
        <v>179</v>
      </c>
      <c r="D11">
        <v>10</v>
      </c>
      <c r="E11" t="s">
        <v>340</v>
      </c>
      <c r="F11">
        <v>0</v>
      </c>
      <c r="G11">
        <v>0</v>
      </c>
      <c r="H11">
        <v>267.95999999999998</v>
      </c>
      <c r="I11">
        <v>1.1200000000000001</v>
      </c>
      <c r="J11">
        <v>26.8</v>
      </c>
      <c r="K11">
        <v>26.8</v>
      </c>
      <c r="L11">
        <v>0</v>
      </c>
      <c r="M11" t="s">
        <v>343</v>
      </c>
      <c r="N11" t="s">
        <v>57</v>
      </c>
      <c r="O11">
        <v>0</v>
      </c>
      <c r="P11">
        <v>0</v>
      </c>
      <c r="Q11">
        <v>0</v>
      </c>
      <c r="R11">
        <v>0</v>
      </c>
      <c r="S11" t="s">
        <v>57</v>
      </c>
      <c r="T11" t="s">
        <v>49</v>
      </c>
      <c r="U11">
        <v>0</v>
      </c>
      <c r="V11">
        <v>0</v>
      </c>
      <c r="W11">
        <v>2101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6.5703125" bestFit="1" customWidth="1"/>
    <col min="2" max="2" width="16" bestFit="1" customWidth="1"/>
    <col min="3" max="3" width="8.140625" bestFit="1" customWidth="1"/>
    <col min="4" max="4" width="11.28515625" bestFit="1" customWidth="1"/>
    <col min="5" max="5" width="29.85546875" bestFit="1" customWidth="1"/>
    <col min="6" max="6" width="21.5703125" bestFit="1" customWidth="1"/>
  </cols>
  <sheetData>
    <row r="1" spans="1:6" x14ac:dyDescent="0.25">
      <c r="A1" t="s">
        <v>344</v>
      </c>
      <c r="B1" t="s">
        <v>324</v>
      </c>
      <c r="C1" t="s">
        <v>345</v>
      </c>
      <c r="D1" t="s">
        <v>346</v>
      </c>
      <c r="E1" t="s">
        <v>347</v>
      </c>
      <c r="F1" t="s">
        <v>348</v>
      </c>
    </row>
    <row r="2" spans="1:6" x14ac:dyDescent="0.25">
      <c r="A2" t="s">
        <v>64</v>
      </c>
      <c r="B2">
        <v>1357.85</v>
      </c>
      <c r="C2">
        <v>5</v>
      </c>
      <c r="D2">
        <v>67.89</v>
      </c>
      <c r="E2">
        <v>67.89</v>
      </c>
      <c r="F2" t="s">
        <v>349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8.28515625" bestFit="1" customWidth="1"/>
    <col min="2" max="2" width="16.5703125" bestFit="1" customWidth="1"/>
    <col min="3" max="3" width="19.28515625" bestFit="1" customWidth="1"/>
    <col min="4" max="4" width="19.42578125" bestFit="1" customWidth="1"/>
    <col min="5" max="5" width="8.140625" bestFit="1" customWidth="1"/>
    <col min="6" max="6" width="8.7109375" bestFit="1" customWidth="1"/>
    <col min="7" max="7" width="15.5703125" bestFit="1" customWidth="1"/>
    <col min="8" max="8" width="6.7109375" bestFit="1" customWidth="1"/>
    <col min="9" max="9" width="16.28515625" bestFit="1" customWidth="1"/>
    <col min="10" max="10" width="11.42578125" bestFit="1" customWidth="1"/>
  </cols>
  <sheetData>
    <row r="1" spans="1:10" x14ac:dyDescent="0.25">
      <c r="A1" t="s">
        <v>350</v>
      </c>
      <c r="B1" t="s">
        <v>69</v>
      </c>
      <c r="C1" t="s">
        <v>351</v>
      </c>
      <c r="D1" t="s">
        <v>352</v>
      </c>
      <c r="E1" t="s">
        <v>46</v>
      </c>
      <c r="F1" t="s">
        <v>353</v>
      </c>
      <c r="G1" t="s">
        <v>354</v>
      </c>
      <c r="H1" t="s">
        <v>355</v>
      </c>
      <c r="I1" t="s">
        <v>356</v>
      </c>
      <c r="J1" t="s">
        <v>357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I6"/>
  <sheetViews>
    <sheetView workbookViewId="0"/>
  </sheetViews>
  <sheetFormatPr defaultRowHeight="15" x14ac:dyDescent="0.25"/>
  <cols>
    <col min="1" max="1" width="17" bestFit="1" customWidth="1"/>
    <col min="2" max="2" width="13.42578125" bestFit="1" customWidth="1"/>
    <col min="3" max="3" width="8.140625" bestFit="1" customWidth="1"/>
    <col min="4" max="4" width="26.5703125" bestFit="1" customWidth="1"/>
    <col min="5" max="5" width="14.28515625" bestFit="1" customWidth="1"/>
    <col min="6" max="6" width="10.5703125" bestFit="1" customWidth="1"/>
    <col min="7" max="7" width="15" bestFit="1" customWidth="1"/>
    <col min="8" max="8" width="13.85546875" bestFit="1" customWidth="1"/>
    <col min="9" max="9" width="11.85546875" bestFit="1" customWidth="1"/>
  </cols>
  <sheetData>
    <row r="1" spans="1:9" x14ac:dyDescent="0.25">
      <c r="A1" t="s">
        <v>358</v>
      </c>
      <c r="B1" t="s">
        <v>359</v>
      </c>
      <c r="C1" t="s">
        <v>236</v>
      </c>
      <c r="D1" t="s">
        <v>275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</row>
    <row r="2" spans="1:9" x14ac:dyDescent="0.25">
      <c r="A2" t="s">
        <v>360</v>
      </c>
      <c r="B2" t="s">
        <v>360</v>
      </c>
      <c r="C2">
        <v>11.11</v>
      </c>
      <c r="D2">
        <v>11.11</v>
      </c>
      <c r="E2" t="s">
        <v>361</v>
      </c>
      <c r="F2" t="s">
        <v>362</v>
      </c>
      <c r="G2" t="s">
        <v>363</v>
      </c>
      <c r="H2" t="s">
        <v>364</v>
      </c>
      <c r="I2" t="s">
        <v>365</v>
      </c>
    </row>
    <row r="3" spans="1:9" x14ac:dyDescent="0.25">
      <c r="A3" t="s">
        <v>366</v>
      </c>
      <c r="B3" t="s">
        <v>366</v>
      </c>
      <c r="C3">
        <v>11.12</v>
      </c>
      <c r="D3">
        <v>11.12</v>
      </c>
      <c r="E3" t="s">
        <v>367</v>
      </c>
      <c r="F3" t="s">
        <v>368</v>
      </c>
      <c r="G3" t="s">
        <v>369</v>
      </c>
      <c r="H3" t="s">
        <v>370</v>
      </c>
      <c r="I3" t="s">
        <v>371</v>
      </c>
    </row>
    <row r="4" spans="1:9" x14ac:dyDescent="0.25">
      <c r="A4" t="s">
        <v>372</v>
      </c>
      <c r="B4" t="s">
        <v>372</v>
      </c>
      <c r="C4">
        <v>11.13</v>
      </c>
      <c r="D4">
        <v>11.13</v>
      </c>
      <c r="E4" t="s">
        <v>373</v>
      </c>
      <c r="F4" t="s">
        <v>374</v>
      </c>
      <c r="G4" t="s">
        <v>375</v>
      </c>
      <c r="H4" t="s">
        <v>376</v>
      </c>
      <c r="I4" t="s">
        <v>377</v>
      </c>
    </row>
    <row r="5" spans="1:9" x14ac:dyDescent="0.25">
      <c r="A5" t="s">
        <v>378</v>
      </c>
      <c r="B5" t="s">
        <v>378</v>
      </c>
      <c r="C5">
        <v>11.14</v>
      </c>
      <c r="D5">
        <v>11.14</v>
      </c>
      <c r="E5" t="s">
        <v>379</v>
      </c>
      <c r="F5" t="s">
        <v>380</v>
      </c>
      <c r="G5" t="s">
        <v>381</v>
      </c>
      <c r="H5" t="s">
        <v>382</v>
      </c>
      <c r="I5" t="s">
        <v>383</v>
      </c>
    </row>
    <row r="6" spans="1:9" x14ac:dyDescent="0.25">
      <c r="A6" t="s">
        <v>384</v>
      </c>
      <c r="B6" t="s">
        <v>384</v>
      </c>
      <c r="C6">
        <v>11.15</v>
      </c>
      <c r="D6">
        <v>11.15</v>
      </c>
      <c r="E6" t="s">
        <v>385</v>
      </c>
      <c r="F6" t="s">
        <v>386</v>
      </c>
      <c r="G6" t="s">
        <v>387</v>
      </c>
      <c r="H6" t="s">
        <v>388</v>
      </c>
      <c r="I6" t="s">
        <v>389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R6"/>
  <sheetViews>
    <sheetView workbookViewId="0"/>
  </sheetViews>
  <sheetFormatPr defaultRowHeight="15" x14ac:dyDescent="0.25"/>
  <cols>
    <col min="1" max="1" width="17.28515625" bestFit="1" customWidth="1"/>
    <col min="2" max="2" width="13.5703125" bestFit="1" customWidth="1"/>
    <col min="3" max="3" width="8.140625" bestFit="1" customWidth="1"/>
    <col min="4" max="4" width="26.5703125" bestFit="1" customWidth="1"/>
    <col min="5" max="5" width="10.42578125" bestFit="1" customWidth="1"/>
    <col min="6" max="6" width="12" bestFit="1" customWidth="1"/>
    <col min="7" max="7" width="13.7109375" bestFit="1" customWidth="1"/>
    <col min="8" max="8" width="20" bestFit="1" customWidth="1"/>
    <col min="9" max="9" width="17.85546875" bestFit="1" customWidth="1"/>
    <col min="10" max="10" width="8" bestFit="1" customWidth="1"/>
    <col min="11" max="11" width="26.42578125" bestFit="1" customWidth="1"/>
    <col min="12" max="12" width="11.42578125" bestFit="1" customWidth="1"/>
    <col min="13" max="13" width="30" bestFit="1" customWidth="1"/>
    <col min="14" max="14" width="14.28515625" bestFit="1" customWidth="1"/>
    <col min="15" max="15" width="10.5703125" bestFit="1" customWidth="1"/>
    <col min="16" max="16" width="15" bestFit="1" customWidth="1"/>
    <col min="17" max="17" width="13.85546875" bestFit="1" customWidth="1"/>
    <col min="18" max="18" width="13.28515625" bestFit="1" customWidth="1"/>
  </cols>
  <sheetData>
    <row r="1" spans="1:18" x14ac:dyDescent="0.25">
      <c r="A1" t="s">
        <v>390</v>
      </c>
      <c r="B1" t="s">
        <v>391</v>
      </c>
      <c r="C1" t="s">
        <v>236</v>
      </c>
      <c r="D1" t="s">
        <v>275</v>
      </c>
      <c r="E1" t="s">
        <v>392</v>
      </c>
      <c r="F1" t="s">
        <v>393</v>
      </c>
      <c r="G1" t="s">
        <v>394</v>
      </c>
      <c r="H1" t="s">
        <v>395</v>
      </c>
      <c r="I1" t="s">
        <v>396</v>
      </c>
      <c r="J1" t="s">
        <v>237</v>
      </c>
      <c r="K1" t="s">
        <v>238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</row>
    <row r="2" spans="1:18" x14ac:dyDescent="0.25">
      <c r="A2" t="s">
        <v>397</v>
      </c>
      <c r="B2" t="s">
        <v>397</v>
      </c>
      <c r="C2">
        <v>12.11</v>
      </c>
      <c r="D2">
        <v>13.32</v>
      </c>
      <c r="E2" t="s">
        <v>398</v>
      </c>
      <c r="F2" s="1">
        <v>45880</v>
      </c>
      <c r="G2" t="s">
        <v>397</v>
      </c>
      <c r="H2" t="s">
        <v>399</v>
      </c>
      <c r="I2" t="s">
        <v>399</v>
      </c>
      <c r="J2">
        <v>1.21</v>
      </c>
      <c r="K2">
        <v>1.21</v>
      </c>
      <c r="L2">
        <v>13.32</v>
      </c>
      <c r="M2">
        <v>13.32</v>
      </c>
      <c r="N2" t="s">
        <v>400</v>
      </c>
      <c r="O2" t="s">
        <v>401</v>
      </c>
      <c r="P2" t="s">
        <v>402</v>
      </c>
      <c r="Q2" t="s">
        <v>403</v>
      </c>
      <c r="R2" t="s">
        <v>404</v>
      </c>
    </row>
    <row r="3" spans="1:18" x14ac:dyDescent="0.25">
      <c r="A3" t="s">
        <v>405</v>
      </c>
      <c r="B3" t="s">
        <v>405</v>
      </c>
      <c r="C3">
        <v>12.12</v>
      </c>
      <c r="D3">
        <v>13.34</v>
      </c>
      <c r="E3" t="s">
        <v>406</v>
      </c>
      <c r="F3" s="1">
        <v>45881</v>
      </c>
      <c r="G3" t="s">
        <v>405</v>
      </c>
      <c r="H3" t="s">
        <v>407</v>
      </c>
      <c r="I3" t="s">
        <v>407</v>
      </c>
      <c r="J3">
        <v>1.22</v>
      </c>
      <c r="K3">
        <v>1.22</v>
      </c>
      <c r="L3">
        <v>13.34</v>
      </c>
      <c r="M3">
        <v>13.34</v>
      </c>
      <c r="N3" t="s">
        <v>408</v>
      </c>
      <c r="O3" t="s">
        <v>409</v>
      </c>
      <c r="P3" t="s">
        <v>410</v>
      </c>
      <c r="Q3" t="s">
        <v>411</v>
      </c>
      <c r="R3" t="s">
        <v>412</v>
      </c>
    </row>
    <row r="4" spans="1:18" x14ac:dyDescent="0.25">
      <c r="A4" t="s">
        <v>413</v>
      </c>
      <c r="B4" t="s">
        <v>413</v>
      </c>
      <c r="C4">
        <v>12.13</v>
      </c>
      <c r="D4">
        <v>13.36</v>
      </c>
      <c r="E4" t="s">
        <v>414</v>
      </c>
      <c r="F4" s="1">
        <v>45882</v>
      </c>
      <c r="G4" t="s">
        <v>413</v>
      </c>
      <c r="H4" t="s">
        <v>415</v>
      </c>
      <c r="I4" t="s">
        <v>415</v>
      </c>
      <c r="J4">
        <v>1.23</v>
      </c>
      <c r="K4">
        <v>1.23</v>
      </c>
      <c r="L4">
        <v>13.36</v>
      </c>
      <c r="M4">
        <v>13.36</v>
      </c>
      <c r="N4" t="s">
        <v>416</v>
      </c>
      <c r="O4" t="s">
        <v>417</v>
      </c>
      <c r="P4" t="s">
        <v>418</v>
      </c>
      <c r="Q4" t="s">
        <v>419</v>
      </c>
      <c r="R4" t="s">
        <v>420</v>
      </c>
    </row>
    <row r="5" spans="1:18" x14ac:dyDescent="0.25">
      <c r="A5" t="s">
        <v>421</v>
      </c>
      <c r="B5" t="s">
        <v>421</v>
      </c>
      <c r="C5">
        <v>12.14</v>
      </c>
      <c r="D5">
        <v>13.38</v>
      </c>
      <c r="E5" t="s">
        <v>422</v>
      </c>
      <c r="F5" s="1">
        <v>45883</v>
      </c>
      <c r="G5" t="s">
        <v>421</v>
      </c>
      <c r="H5" t="s">
        <v>423</v>
      </c>
      <c r="I5" t="s">
        <v>423</v>
      </c>
      <c r="J5">
        <v>1.24</v>
      </c>
      <c r="K5">
        <v>1.24</v>
      </c>
      <c r="L5">
        <v>13.38</v>
      </c>
      <c r="M5">
        <v>13.38</v>
      </c>
      <c r="N5" t="s">
        <v>424</v>
      </c>
      <c r="O5" t="s">
        <v>425</v>
      </c>
      <c r="P5" t="s">
        <v>426</v>
      </c>
      <c r="Q5" t="s">
        <v>427</v>
      </c>
      <c r="R5" t="s">
        <v>428</v>
      </c>
    </row>
    <row r="6" spans="1:18" x14ac:dyDescent="0.25">
      <c r="A6" t="s">
        <v>429</v>
      </c>
      <c r="B6" t="s">
        <v>429</v>
      </c>
      <c r="C6">
        <v>12.15</v>
      </c>
      <c r="D6">
        <v>13.4</v>
      </c>
      <c r="E6" t="s">
        <v>430</v>
      </c>
      <c r="F6" s="1">
        <v>45884</v>
      </c>
      <c r="G6" t="s">
        <v>429</v>
      </c>
      <c r="H6" t="s">
        <v>431</v>
      </c>
      <c r="I6" t="s">
        <v>431</v>
      </c>
      <c r="J6">
        <v>1.25</v>
      </c>
      <c r="K6">
        <v>1.25</v>
      </c>
      <c r="L6">
        <v>13.4</v>
      </c>
      <c r="M6">
        <v>13.4</v>
      </c>
      <c r="N6" t="s">
        <v>432</v>
      </c>
      <c r="O6" t="s">
        <v>433</v>
      </c>
      <c r="P6" t="s">
        <v>434</v>
      </c>
      <c r="Q6" t="s">
        <v>435</v>
      </c>
      <c r="R6" t="s">
        <v>436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M6"/>
  <sheetViews>
    <sheetView workbookViewId="0"/>
  </sheetViews>
  <sheetFormatPr defaultRowHeight="15" x14ac:dyDescent="0.25"/>
  <cols>
    <col min="1" max="2" width="18.85546875" bestFit="1" customWidth="1"/>
    <col min="3" max="3" width="12.140625" bestFit="1" customWidth="1"/>
    <col min="4" max="4" width="8.140625" bestFit="1" customWidth="1"/>
    <col min="5" max="5" width="26.5703125" bestFit="1" customWidth="1"/>
    <col min="6" max="6" width="10.42578125" bestFit="1" customWidth="1"/>
    <col min="7" max="7" width="12" bestFit="1" customWidth="1"/>
    <col min="8" max="8" width="18.85546875" bestFit="1" customWidth="1"/>
    <col min="9" max="9" width="14.28515625" bestFit="1" customWidth="1"/>
    <col min="10" max="10" width="10.5703125" bestFit="1" customWidth="1"/>
    <col min="11" max="11" width="15" bestFit="1" customWidth="1"/>
    <col min="12" max="12" width="13.85546875" bestFit="1" customWidth="1"/>
    <col min="13" max="13" width="13.42578125" bestFit="1" customWidth="1"/>
  </cols>
  <sheetData>
    <row r="1" spans="1:13" x14ac:dyDescent="0.25">
      <c r="A1" t="s">
        <v>390</v>
      </c>
      <c r="B1" t="s">
        <v>391</v>
      </c>
      <c r="C1" t="s">
        <v>437</v>
      </c>
      <c r="D1" t="s">
        <v>236</v>
      </c>
      <c r="E1" t="s">
        <v>275</v>
      </c>
      <c r="F1" t="s">
        <v>392</v>
      </c>
      <c r="G1" t="s">
        <v>393</v>
      </c>
      <c r="H1" t="s">
        <v>394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</row>
    <row r="2" spans="1:13" x14ac:dyDescent="0.25">
      <c r="A2" t="s">
        <v>438</v>
      </c>
      <c r="B2" t="s">
        <v>438</v>
      </c>
      <c r="C2" t="s">
        <v>439</v>
      </c>
      <c r="D2">
        <v>13.11</v>
      </c>
      <c r="E2">
        <v>13.11</v>
      </c>
      <c r="F2" t="s">
        <v>440</v>
      </c>
      <c r="G2" s="1">
        <v>45885</v>
      </c>
      <c r="H2" t="s">
        <v>438</v>
      </c>
      <c r="I2" t="s">
        <v>441</v>
      </c>
      <c r="J2" t="s">
        <v>442</v>
      </c>
      <c r="K2" t="s">
        <v>443</v>
      </c>
      <c r="L2" t="s">
        <v>444</v>
      </c>
      <c r="M2" t="s">
        <v>445</v>
      </c>
    </row>
    <row r="3" spans="1:13" x14ac:dyDescent="0.25">
      <c r="A3" t="s">
        <v>446</v>
      </c>
      <c r="B3" t="s">
        <v>446</v>
      </c>
      <c r="C3" t="s">
        <v>439</v>
      </c>
      <c r="D3">
        <v>13.12</v>
      </c>
      <c r="E3">
        <v>13.12</v>
      </c>
      <c r="F3" t="s">
        <v>447</v>
      </c>
      <c r="G3" s="1">
        <v>45886</v>
      </c>
      <c r="H3" t="s">
        <v>446</v>
      </c>
      <c r="I3" t="s">
        <v>448</v>
      </c>
      <c r="J3" t="s">
        <v>449</v>
      </c>
      <c r="K3" t="s">
        <v>450</v>
      </c>
      <c r="L3" t="s">
        <v>451</v>
      </c>
      <c r="M3" t="s">
        <v>452</v>
      </c>
    </row>
    <row r="4" spans="1:13" x14ac:dyDescent="0.25">
      <c r="A4" t="s">
        <v>453</v>
      </c>
      <c r="B4" t="s">
        <v>453</v>
      </c>
      <c r="C4" t="s">
        <v>439</v>
      </c>
      <c r="D4">
        <v>13.13</v>
      </c>
      <c r="E4">
        <v>13.13</v>
      </c>
      <c r="F4" t="s">
        <v>454</v>
      </c>
      <c r="G4" s="1">
        <v>45887</v>
      </c>
      <c r="H4" t="s">
        <v>453</v>
      </c>
      <c r="I4" t="s">
        <v>455</v>
      </c>
      <c r="J4" t="s">
        <v>456</v>
      </c>
      <c r="K4" t="s">
        <v>457</v>
      </c>
      <c r="L4" t="s">
        <v>458</v>
      </c>
      <c r="M4" t="s">
        <v>459</v>
      </c>
    </row>
    <row r="5" spans="1:13" x14ac:dyDescent="0.25">
      <c r="A5" t="s">
        <v>460</v>
      </c>
      <c r="B5" t="s">
        <v>460</v>
      </c>
      <c r="C5" t="s">
        <v>439</v>
      </c>
      <c r="D5">
        <v>13.14</v>
      </c>
      <c r="E5">
        <v>13.14</v>
      </c>
      <c r="F5" t="s">
        <v>461</v>
      </c>
      <c r="G5" s="1">
        <v>45888</v>
      </c>
      <c r="H5" t="s">
        <v>460</v>
      </c>
      <c r="I5" t="s">
        <v>462</v>
      </c>
      <c r="J5" t="s">
        <v>463</v>
      </c>
      <c r="K5" t="s">
        <v>464</v>
      </c>
      <c r="L5" t="s">
        <v>465</v>
      </c>
      <c r="M5" t="s">
        <v>466</v>
      </c>
    </row>
    <row r="6" spans="1:13" x14ac:dyDescent="0.25">
      <c r="A6" t="s">
        <v>467</v>
      </c>
      <c r="B6" t="s">
        <v>467</v>
      </c>
      <c r="C6" t="s">
        <v>439</v>
      </c>
      <c r="D6">
        <v>13.15</v>
      </c>
      <c r="E6">
        <v>13.15</v>
      </c>
      <c r="F6" t="s">
        <v>468</v>
      </c>
      <c r="G6" s="1">
        <v>45889</v>
      </c>
      <c r="H6" t="s">
        <v>467</v>
      </c>
      <c r="I6" t="s">
        <v>469</v>
      </c>
      <c r="J6" t="s">
        <v>470</v>
      </c>
      <c r="K6" t="s">
        <v>471</v>
      </c>
      <c r="L6" t="s">
        <v>472</v>
      </c>
      <c r="M6" t="s">
        <v>473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L6"/>
  <sheetViews>
    <sheetView workbookViewId="0"/>
  </sheetViews>
  <sheetFormatPr defaultRowHeight="15" x14ac:dyDescent="0.25"/>
  <cols>
    <col min="1" max="1" width="17.28515625" bestFit="1" customWidth="1"/>
    <col min="2" max="2" width="18.85546875" bestFit="1" customWidth="1"/>
    <col min="3" max="3" width="8.140625" bestFit="1" customWidth="1"/>
    <col min="4" max="4" width="26.5703125" bestFit="1" customWidth="1"/>
    <col min="5" max="5" width="10.42578125" bestFit="1" customWidth="1"/>
    <col min="6" max="6" width="12" bestFit="1" customWidth="1"/>
    <col min="7" max="7" width="18.85546875" bestFit="1" customWidth="1"/>
    <col min="8" max="8" width="14.28515625" bestFit="1" customWidth="1"/>
    <col min="9" max="9" width="10.5703125" bestFit="1" customWidth="1"/>
    <col min="10" max="10" width="15" bestFit="1" customWidth="1"/>
    <col min="11" max="11" width="13.85546875" bestFit="1" customWidth="1"/>
    <col min="12" max="12" width="14.28515625" bestFit="1" customWidth="1"/>
  </cols>
  <sheetData>
    <row r="1" spans="1:12" x14ac:dyDescent="0.25">
      <c r="A1" t="s">
        <v>390</v>
      </c>
      <c r="B1" t="s">
        <v>391</v>
      </c>
      <c r="C1" t="s">
        <v>236</v>
      </c>
      <c r="D1" t="s">
        <v>275</v>
      </c>
      <c r="E1" t="s">
        <v>392</v>
      </c>
      <c r="F1" t="s">
        <v>393</v>
      </c>
      <c r="G1" t="s">
        <v>394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</row>
    <row r="2" spans="1:12" x14ac:dyDescent="0.25">
      <c r="A2" t="s">
        <v>474</v>
      </c>
      <c r="B2" t="s">
        <v>467</v>
      </c>
      <c r="C2">
        <v>14.11</v>
      </c>
      <c r="D2">
        <v>14.11</v>
      </c>
      <c r="E2" t="s">
        <v>475</v>
      </c>
      <c r="F2" s="1">
        <v>45890</v>
      </c>
      <c r="G2" t="s">
        <v>467</v>
      </c>
      <c r="H2" t="s">
        <v>476</v>
      </c>
      <c r="I2" t="s">
        <v>477</v>
      </c>
      <c r="J2" t="s">
        <v>478</v>
      </c>
      <c r="K2" t="s">
        <v>479</v>
      </c>
      <c r="L2" t="s">
        <v>480</v>
      </c>
    </row>
    <row r="3" spans="1:12" x14ac:dyDescent="0.25">
      <c r="A3" t="s">
        <v>481</v>
      </c>
      <c r="B3" t="s">
        <v>482</v>
      </c>
      <c r="C3">
        <v>14.12</v>
      </c>
      <c r="D3">
        <v>14.12</v>
      </c>
      <c r="E3" t="s">
        <v>483</v>
      </c>
      <c r="F3" s="1">
        <v>45891</v>
      </c>
      <c r="G3" t="s">
        <v>482</v>
      </c>
      <c r="H3" t="s">
        <v>484</v>
      </c>
      <c r="I3" t="s">
        <v>485</v>
      </c>
      <c r="J3" t="s">
        <v>486</v>
      </c>
      <c r="K3" t="s">
        <v>487</v>
      </c>
      <c r="L3" t="s">
        <v>488</v>
      </c>
    </row>
    <row r="4" spans="1:12" x14ac:dyDescent="0.25">
      <c r="A4" t="s">
        <v>489</v>
      </c>
      <c r="B4" t="s">
        <v>490</v>
      </c>
      <c r="C4">
        <v>14.13</v>
      </c>
      <c r="D4">
        <v>14.13</v>
      </c>
      <c r="E4" t="s">
        <v>491</v>
      </c>
      <c r="F4" s="1">
        <v>45892</v>
      </c>
      <c r="G4" t="s">
        <v>490</v>
      </c>
      <c r="H4" t="s">
        <v>492</v>
      </c>
      <c r="I4" t="s">
        <v>493</v>
      </c>
      <c r="J4" t="s">
        <v>494</v>
      </c>
      <c r="K4" t="s">
        <v>495</v>
      </c>
      <c r="L4" t="s">
        <v>496</v>
      </c>
    </row>
    <row r="5" spans="1:12" x14ac:dyDescent="0.25">
      <c r="A5" t="s">
        <v>497</v>
      </c>
      <c r="B5" t="s">
        <v>498</v>
      </c>
      <c r="C5">
        <v>14.14</v>
      </c>
      <c r="D5">
        <v>14.14</v>
      </c>
      <c r="E5" t="s">
        <v>499</v>
      </c>
      <c r="F5" s="1">
        <v>45893</v>
      </c>
      <c r="G5" t="s">
        <v>498</v>
      </c>
      <c r="H5" t="s">
        <v>500</v>
      </c>
      <c r="I5" t="s">
        <v>501</v>
      </c>
      <c r="J5" t="s">
        <v>502</v>
      </c>
      <c r="K5" t="s">
        <v>503</v>
      </c>
      <c r="L5" t="s">
        <v>504</v>
      </c>
    </row>
    <row r="6" spans="1:12" x14ac:dyDescent="0.25">
      <c r="A6" t="s">
        <v>505</v>
      </c>
      <c r="B6" t="s">
        <v>506</v>
      </c>
      <c r="C6">
        <v>14.15</v>
      </c>
      <c r="D6">
        <v>14.15</v>
      </c>
      <c r="E6" t="s">
        <v>507</v>
      </c>
      <c r="F6" s="1">
        <v>45894</v>
      </c>
      <c r="G6" t="s">
        <v>506</v>
      </c>
      <c r="H6" t="s">
        <v>508</v>
      </c>
      <c r="I6" t="s">
        <v>509</v>
      </c>
      <c r="J6" t="s">
        <v>510</v>
      </c>
      <c r="K6" t="s">
        <v>511</v>
      </c>
      <c r="L6" t="s">
        <v>512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B2"/>
  <sheetViews>
    <sheetView workbookViewId="0"/>
  </sheetViews>
  <sheetFormatPr defaultRowHeight="15" x14ac:dyDescent="0.25"/>
  <cols>
    <col min="1" max="1" width="20.140625" bestFit="1" customWidth="1"/>
    <col min="2" max="2" width="13.5703125" bestFit="1" customWidth="1"/>
  </cols>
  <sheetData>
    <row r="1" spans="1:2" x14ac:dyDescent="0.25">
      <c r="A1" t="s">
        <v>513</v>
      </c>
      <c r="B1" t="s">
        <v>514</v>
      </c>
    </row>
    <row r="2" spans="1:2" x14ac:dyDescent="0.25">
      <c r="A2" t="s">
        <v>53</v>
      </c>
      <c r="B2" t="s">
        <v>57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B2"/>
  <sheetViews>
    <sheetView workbookViewId="0"/>
  </sheetViews>
  <sheetFormatPr defaultRowHeight="15" x14ac:dyDescent="0.25"/>
  <cols>
    <col min="1" max="1" width="12.5703125" bestFit="1" customWidth="1"/>
    <col min="2" max="2" width="11.5703125" bestFit="1" customWidth="1"/>
  </cols>
  <sheetData>
    <row r="1" spans="1:2" x14ac:dyDescent="0.25">
      <c r="A1" t="s">
        <v>515</v>
      </c>
      <c r="B1" t="s">
        <v>516</v>
      </c>
    </row>
    <row r="2" spans="1:2" x14ac:dyDescent="0.25">
      <c r="A2">
        <v>1402</v>
      </c>
      <c r="B2" s="1">
        <v>45849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G2"/>
  <sheetViews>
    <sheetView workbookViewId="0">
      <selection activeCell="A2" sqref="A2"/>
    </sheetView>
  </sheetViews>
  <sheetFormatPr defaultRowHeight="15" x14ac:dyDescent="0.25"/>
  <cols>
    <col min="1" max="1" width="15.7109375" bestFit="1" customWidth="1"/>
    <col min="2" max="2" width="17.42578125" bestFit="1" customWidth="1"/>
    <col min="3" max="7" width="10.7109375" bestFit="1" customWidth="1"/>
  </cols>
  <sheetData>
    <row r="1" spans="1:7" x14ac:dyDescent="0.25">
      <c r="A1" t="s">
        <v>517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  <c r="G1" t="s">
        <v>523</v>
      </c>
    </row>
    <row r="2" spans="1:7" x14ac:dyDescent="0.25">
      <c r="A2" t="s">
        <v>524</v>
      </c>
      <c r="B2" s="1">
        <v>45895</v>
      </c>
      <c r="C2" t="s">
        <v>525</v>
      </c>
      <c r="D2" t="s">
        <v>526</v>
      </c>
      <c r="E2" t="s">
        <v>527</v>
      </c>
      <c r="F2" t="s">
        <v>528</v>
      </c>
      <c r="G2" t="s">
        <v>529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P2"/>
  <sheetViews>
    <sheetView workbookViewId="0"/>
  </sheetViews>
  <sheetFormatPr defaultRowHeight="15" x14ac:dyDescent="0.25"/>
  <cols>
    <col min="1" max="5" width="6.28515625" bestFit="1" customWidth="1"/>
    <col min="6" max="10" width="7.140625" bestFit="1" customWidth="1"/>
    <col min="11" max="13" width="10.140625" bestFit="1" customWidth="1"/>
    <col min="14" max="16" width="6" bestFit="1" customWidth="1"/>
  </cols>
  <sheetData>
    <row r="1" spans="1:16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  <c r="M1" t="s">
        <v>131</v>
      </c>
      <c r="N1" t="s">
        <v>132</v>
      </c>
      <c r="O1" t="s">
        <v>133</v>
      </c>
      <c r="P1" t="s">
        <v>134</v>
      </c>
    </row>
    <row r="2" spans="1:16" x14ac:dyDescent="0.25">
      <c r="A2" t="s">
        <v>530</v>
      </c>
      <c r="B2" t="s">
        <v>531</v>
      </c>
      <c r="C2" t="s">
        <v>532</v>
      </c>
      <c r="D2" t="s">
        <v>533</v>
      </c>
      <c r="E2" t="s">
        <v>534</v>
      </c>
      <c r="F2">
        <v>15.11</v>
      </c>
      <c r="G2">
        <v>15.12</v>
      </c>
      <c r="H2">
        <v>15.13</v>
      </c>
      <c r="I2">
        <v>15.14</v>
      </c>
      <c r="J2">
        <v>15.15</v>
      </c>
      <c r="K2" s="1">
        <v>45896</v>
      </c>
      <c r="L2" s="1">
        <v>45897</v>
      </c>
      <c r="M2" s="1">
        <v>45898</v>
      </c>
      <c r="N2" t="s">
        <v>53</v>
      </c>
      <c r="O2" t="s">
        <v>53</v>
      </c>
      <c r="P2" t="s">
        <v>53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BI2"/>
  <sheetViews>
    <sheetView workbookViewId="0"/>
  </sheetViews>
  <sheetFormatPr defaultRowHeight="15" x14ac:dyDescent="0.25"/>
  <cols>
    <col min="1" max="1" width="8.7109375" bestFit="1" customWidth="1"/>
    <col min="2" max="2" width="14" bestFit="1" customWidth="1"/>
    <col min="3" max="3" width="12.7109375" bestFit="1" customWidth="1"/>
    <col min="4" max="4" width="18.140625" bestFit="1" customWidth="1"/>
    <col min="5" max="5" width="13.140625" bestFit="1" customWidth="1"/>
    <col min="6" max="6" width="8.7109375" bestFit="1" customWidth="1"/>
    <col min="7" max="7" width="19.28515625" bestFit="1" customWidth="1"/>
    <col min="8" max="8" width="5.42578125" bestFit="1" customWidth="1"/>
    <col min="9" max="9" width="5.28515625" bestFit="1" customWidth="1"/>
    <col min="10" max="10" width="4.85546875" bestFit="1" customWidth="1"/>
    <col min="11" max="11" width="6" bestFit="1" customWidth="1"/>
    <col min="12" max="12" width="11.42578125" bestFit="1" customWidth="1"/>
    <col min="13" max="13" width="8" bestFit="1" customWidth="1"/>
    <col min="14" max="14" width="23.42578125" bestFit="1" customWidth="1"/>
    <col min="15" max="15" width="11" bestFit="1" customWidth="1"/>
    <col min="16" max="16" width="26.5703125" bestFit="1" customWidth="1"/>
    <col min="17" max="17" width="13.28515625" bestFit="1" customWidth="1"/>
    <col min="18" max="18" width="28.7109375" bestFit="1" customWidth="1"/>
    <col min="19" max="19" width="17.85546875" bestFit="1" customWidth="1"/>
    <col min="20" max="20" width="17.7109375" bestFit="1" customWidth="1"/>
    <col min="21" max="21" width="17.28515625" bestFit="1" customWidth="1"/>
    <col min="22" max="22" width="17.5703125" bestFit="1" customWidth="1"/>
    <col min="23" max="23" width="16.5703125" bestFit="1" customWidth="1"/>
    <col min="24" max="24" width="39.28515625" bestFit="1" customWidth="1"/>
    <col min="25" max="25" width="17.42578125" bestFit="1" customWidth="1"/>
    <col min="26" max="26" width="18.140625" bestFit="1" customWidth="1"/>
    <col min="27" max="27" width="16" bestFit="1" customWidth="1"/>
    <col min="28" max="28" width="19.85546875" bestFit="1" customWidth="1"/>
    <col min="29" max="29" width="11.28515625" bestFit="1" customWidth="1"/>
    <col min="30" max="30" width="19.42578125" bestFit="1" customWidth="1"/>
    <col min="31" max="31" width="16" bestFit="1" customWidth="1"/>
    <col min="32" max="32" width="14" bestFit="1" customWidth="1"/>
    <col min="33" max="33" width="17.85546875" bestFit="1" customWidth="1"/>
    <col min="34" max="34" width="16.85546875" bestFit="1" customWidth="1"/>
    <col min="35" max="35" width="14.5703125" bestFit="1" customWidth="1"/>
    <col min="36" max="36" width="33" bestFit="1" customWidth="1"/>
    <col min="37" max="37" width="15.140625" bestFit="1" customWidth="1"/>
    <col min="38" max="38" width="33.5703125" bestFit="1" customWidth="1"/>
    <col min="39" max="39" width="10.5703125" bestFit="1" customWidth="1"/>
    <col min="40" max="40" width="29" bestFit="1" customWidth="1"/>
    <col min="41" max="41" width="12.7109375" bestFit="1" customWidth="1"/>
    <col min="42" max="42" width="28.28515625" bestFit="1" customWidth="1"/>
    <col min="43" max="43" width="6" bestFit="1" customWidth="1"/>
    <col min="44" max="44" width="8.7109375" bestFit="1" customWidth="1"/>
    <col min="45" max="45" width="18.140625" bestFit="1" customWidth="1"/>
    <col min="46" max="46" width="6" bestFit="1" customWidth="1"/>
    <col min="47" max="47" width="22.7109375" bestFit="1" customWidth="1"/>
    <col min="48" max="48" width="14.140625" bestFit="1" customWidth="1"/>
    <col min="49" max="49" width="24.28515625" bestFit="1" customWidth="1"/>
    <col min="50" max="50" width="15.28515625" bestFit="1" customWidth="1"/>
    <col min="51" max="51" width="18.140625" bestFit="1" customWidth="1"/>
    <col min="52" max="52" width="20" bestFit="1" customWidth="1"/>
    <col min="53" max="53" width="18" bestFit="1" customWidth="1"/>
    <col min="54" max="54" width="23.140625" bestFit="1" customWidth="1"/>
    <col min="55" max="55" width="21" bestFit="1" customWidth="1"/>
    <col min="56" max="57" width="15.5703125" bestFit="1" customWidth="1"/>
    <col min="58" max="58" width="14.5703125" bestFit="1" customWidth="1"/>
    <col min="59" max="60" width="20.42578125" bestFit="1" customWidth="1"/>
    <col min="61" max="61" width="19.42578125" bestFit="1" customWidth="1"/>
  </cols>
  <sheetData>
    <row r="1" spans="1:61" x14ac:dyDescent="0.25">
      <c r="A1" t="s">
        <v>84</v>
      </c>
      <c r="B1" t="s">
        <v>85</v>
      </c>
      <c r="C1" t="s">
        <v>86</v>
      </c>
      <c r="D1" t="s">
        <v>535</v>
      </c>
      <c r="E1" t="s">
        <v>90</v>
      </c>
      <c r="F1" t="s">
        <v>536</v>
      </c>
      <c r="G1" t="s">
        <v>104</v>
      </c>
      <c r="H1" t="s">
        <v>7</v>
      </c>
      <c r="I1" t="s">
        <v>8</v>
      </c>
      <c r="J1" t="s">
        <v>9</v>
      </c>
      <c r="K1" t="s">
        <v>10</v>
      </c>
      <c r="L1" t="s">
        <v>112</v>
      </c>
      <c r="M1" t="s">
        <v>237</v>
      </c>
      <c r="N1" t="s">
        <v>537</v>
      </c>
      <c r="O1" t="s">
        <v>239</v>
      </c>
      <c r="P1" t="s">
        <v>538</v>
      </c>
      <c r="Q1" t="s">
        <v>6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346</v>
      </c>
      <c r="AD1" t="s">
        <v>550</v>
      </c>
      <c r="AE1" t="s">
        <v>46</v>
      </c>
      <c r="AF1" t="s">
        <v>551</v>
      </c>
      <c r="AG1" t="s">
        <v>552</v>
      </c>
      <c r="AH1" t="s">
        <v>553</v>
      </c>
      <c r="AI1" t="s">
        <v>554</v>
      </c>
      <c r="AJ1" t="s">
        <v>555</v>
      </c>
      <c r="AK1" t="s">
        <v>556</v>
      </c>
      <c r="AL1" t="s">
        <v>557</v>
      </c>
      <c r="AM1" t="s">
        <v>558</v>
      </c>
      <c r="AN1" t="s">
        <v>559</v>
      </c>
      <c r="AO1" t="s">
        <v>560</v>
      </c>
      <c r="AP1" t="s">
        <v>561</v>
      </c>
      <c r="AQ1" t="s">
        <v>13</v>
      </c>
      <c r="AR1" t="s">
        <v>14</v>
      </c>
      <c r="AS1" t="s">
        <v>15</v>
      </c>
      <c r="AT1" t="s">
        <v>16</v>
      </c>
      <c r="AU1" t="s">
        <v>562</v>
      </c>
      <c r="AV1" t="s">
        <v>563</v>
      </c>
      <c r="AW1" t="s">
        <v>564</v>
      </c>
      <c r="AX1" t="s">
        <v>565</v>
      </c>
      <c r="AY1" t="s">
        <v>566</v>
      </c>
      <c r="AZ1" t="s">
        <v>567</v>
      </c>
      <c r="BA1" t="s">
        <v>568</v>
      </c>
      <c r="BB1" t="s">
        <v>569</v>
      </c>
      <c r="BC1" t="s">
        <v>570</v>
      </c>
      <c r="BD1" t="s">
        <v>571</v>
      </c>
      <c r="BE1" t="s">
        <v>572</v>
      </c>
      <c r="BF1" t="s">
        <v>111</v>
      </c>
      <c r="BG1" t="s">
        <v>573</v>
      </c>
      <c r="BH1" t="s">
        <v>574</v>
      </c>
      <c r="BI1" t="s">
        <v>108</v>
      </c>
    </row>
    <row r="2" spans="1:61" x14ac:dyDescent="0.25">
      <c r="A2">
        <v>5.4930000000000003</v>
      </c>
      <c r="B2">
        <v>5.4930000000000003</v>
      </c>
      <c r="C2">
        <v>5.33</v>
      </c>
      <c r="D2">
        <v>5.33</v>
      </c>
      <c r="E2">
        <v>1205.06</v>
      </c>
      <c r="F2">
        <v>60.81</v>
      </c>
      <c r="G2">
        <v>1144.25</v>
      </c>
      <c r="H2">
        <v>79.900000000000006</v>
      </c>
      <c r="I2">
        <v>79.900000000000006</v>
      </c>
      <c r="J2">
        <v>0</v>
      </c>
      <c r="K2">
        <v>45.13</v>
      </c>
      <c r="L2">
        <v>1349.18</v>
      </c>
      <c r="M2">
        <v>38.18</v>
      </c>
      <c r="N2">
        <v>1387.36</v>
      </c>
      <c r="O2">
        <v>63.38</v>
      </c>
      <c r="P2">
        <v>1323.98</v>
      </c>
      <c r="Q2">
        <v>7.35</v>
      </c>
      <c r="R2">
        <v>1331.33</v>
      </c>
      <c r="S2">
        <v>0.46</v>
      </c>
      <c r="T2">
        <v>0.46</v>
      </c>
      <c r="U2">
        <v>0</v>
      </c>
      <c r="V2">
        <v>0.4</v>
      </c>
      <c r="W2">
        <v>1.32</v>
      </c>
      <c r="X2">
        <v>1332.65</v>
      </c>
      <c r="Y2">
        <v>1349.18</v>
      </c>
      <c r="Z2">
        <v>8.67</v>
      </c>
      <c r="AA2">
        <v>1357.85</v>
      </c>
      <c r="AB2">
        <v>0</v>
      </c>
      <c r="AC2">
        <v>67.89</v>
      </c>
      <c r="AD2">
        <v>1400.54</v>
      </c>
      <c r="AE2" t="s">
        <v>67</v>
      </c>
      <c r="AF2">
        <v>1</v>
      </c>
      <c r="AG2" t="s">
        <v>575</v>
      </c>
      <c r="AH2">
        <v>0.46</v>
      </c>
      <c r="AI2">
        <v>0</v>
      </c>
      <c r="AJ2">
        <v>0</v>
      </c>
      <c r="AK2">
        <v>0.46</v>
      </c>
      <c r="AL2">
        <v>0.46</v>
      </c>
      <c r="AM2">
        <v>1401</v>
      </c>
      <c r="AN2">
        <v>1401</v>
      </c>
      <c r="AO2">
        <v>0</v>
      </c>
      <c r="AP2">
        <v>1401</v>
      </c>
      <c r="AQ2">
        <v>55.65</v>
      </c>
      <c r="AR2">
        <v>60.65</v>
      </c>
      <c r="AS2">
        <v>65.650000000000006</v>
      </c>
      <c r="AT2">
        <v>70.650000000000006</v>
      </c>
      <c r="AU2">
        <v>136.30000000000001</v>
      </c>
      <c r="AV2">
        <v>252.6</v>
      </c>
      <c r="AW2">
        <v>1148.4000000000001</v>
      </c>
      <c r="AX2">
        <v>1148.4000000000001</v>
      </c>
      <c r="AY2">
        <v>0</v>
      </c>
      <c r="AZ2">
        <v>38.18</v>
      </c>
      <c r="BA2">
        <v>0</v>
      </c>
      <c r="BB2">
        <v>63.38</v>
      </c>
      <c r="BC2">
        <v>0</v>
      </c>
      <c r="BD2">
        <v>0</v>
      </c>
      <c r="BE2">
        <v>0</v>
      </c>
      <c r="BF2">
        <v>0</v>
      </c>
      <c r="BG2">
        <v>1144.25</v>
      </c>
      <c r="BH2">
        <v>7.35</v>
      </c>
      <c r="BI2">
        <v>1151.5999999999999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L2"/>
  <sheetViews>
    <sheetView workbookViewId="0"/>
  </sheetViews>
  <sheetFormatPr defaultRowHeight="15" x14ac:dyDescent="0.25"/>
  <cols>
    <col min="1" max="1" width="16.7109375" bestFit="1" customWidth="1"/>
    <col min="2" max="2" width="18.140625" bestFit="1" customWidth="1"/>
    <col min="3" max="3" width="19.7109375" bestFit="1" customWidth="1"/>
    <col min="4" max="4" width="10.5703125" bestFit="1" customWidth="1"/>
    <col min="5" max="5" width="50.7109375" bestFit="1" customWidth="1"/>
    <col min="6" max="6" width="10.5703125" bestFit="1" customWidth="1"/>
    <col min="7" max="7" width="10" bestFit="1" customWidth="1"/>
    <col min="8" max="8" width="10.140625" bestFit="1" customWidth="1"/>
    <col min="9" max="9" width="8" bestFit="1" customWidth="1"/>
    <col min="10" max="10" width="7" bestFit="1" customWidth="1"/>
    <col min="11" max="11" width="13.28515625" bestFit="1" customWidth="1"/>
    <col min="12" max="12" width="9.85546875" bestFit="1" customWidth="1"/>
  </cols>
  <sheetData>
    <row r="1" spans="1:12" x14ac:dyDescent="0.25">
      <c r="A1" t="s">
        <v>35</v>
      </c>
      <c r="B1" t="s">
        <v>576</v>
      </c>
      <c r="C1" t="s">
        <v>577</v>
      </c>
      <c r="D1" t="s">
        <v>578</v>
      </c>
      <c r="E1" t="s">
        <v>579</v>
      </c>
      <c r="F1" t="s">
        <v>580</v>
      </c>
      <c r="G1" t="s">
        <v>32</v>
      </c>
      <c r="H1" t="s">
        <v>31</v>
      </c>
      <c r="I1" t="s">
        <v>581</v>
      </c>
      <c r="J1" t="s">
        <v>582</v>
      </c>
      <c r="K1" t="s">
        <v>583</v>
      </c>
      <c r="L1" t="s">
        <v>584</v>
      </c>
    </row>
    <row r="2" spans="1:12" x14ac:dyDescent="0.25">
      <c r="A2" t="s">
        <v>59</v>
      </c>
      <c r="B2" t="s">
        <v>585</v>
      </c>
      <c r="C2" t="s">
        <v>586</v>
      </c>
      <c r="D2" t="s">
        <v>587</v>
      </c>
      <c r="E2" t="s">
        <v>588</v>
      </c>
      <c r="F2" t="s">
        <v>587</v>
      </c>
      <c r="G2" t="s">
        <v>56</v>
      </c>
      <c r="H2" t="s">
        <v>55</v>
      </c>
      <c r="I2" t="s">
        <v>589</v>
      </c>
      <c r="J2" t="s">
        <v>590</v>
      </c>
      <c r="K2" t="s">
        <v>49</v>
      </c>
      <c r="L2" t="s">
        <v>49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autoPageBreaks="0"/>
  </sheetPr>
  <dimension ref="A1:L2"/>
  <sheetViews>
    <sheetView workbookViewId="0"/>
  </sheetViews>
  <sheetFormatPr defaultRowHeight="15" x14ac:dyDescent="0.25"/>
  <cols>
    <col min="1" max="1" width="16.7109375" bestFit="1" customWidth="1"/>
    <col min="2" max="2" width="18.140625" bestFit="1" customWidth="1"/>
    <col min="3" max="3" width="19.7109375" bestFit="1" customWidth="1"/>
    <col min="4" max="4" width="10.5703125" bestFit="1" customWidth="1"/>
    <col min="5" max="5" width="50.7109375" bestFit="1" customWidth="1"/>
    <col min="6" max="6" width="10.5703125" bestFit="1" customWidth="1"/>
    <col min="7" max="7" width="10" bestFit="1" customWidth="1"/>
    <col min="8" max="8" width="10.140625" bestFit="1" customWidth="1"/>
    <col min="9" max="9" width="8" bestFit="1" customWidth="1"/>
    <col min="10" max="10" width="7" bestFit="1" customWidth="1"/>
    <col min="11" max="11" width="13.5703125" bestFit="1" customWidth="1"/>
    <col min="12" max="12" width="11" bestFit="1" customWidth="1"/>
  </cols>
  <sheetData>
    <row r="1" spans="1:12" x14ac:dyDescent="0.25">
      <c r="A1" t="s">
        <v>35</v>
      </c>
      <c r="B1" t="s">
        <v>576</v>
      </c>
      <c r="C1" t="s">
        <v>577</v>
      </c>
      <c r="D1" t="s">
        <v>578</v>
      </c>
      <c r="E1" t="s">
        <v>579</v>
      </c>
      <c r="F1" t="s">
        <v>580</v>
      </c>
      <c r="G1" t="s">
        <v>32</v>
      </c>
      <c r="H1" t="s">
        <v>31</v>
      </c>
      <c r="I1" t="s">
        <v>581</v>
      </c>
      <c r="J1" t="s">
        <v>582</v>
      </c>
      <c r="K1" t="s">
        <v>583</v>
      </c>
      <c r="L1" t="s">
        <v>584</v>
      </c>
    </row>
    <row r="2" spans="1:12" x14ac:dyDescent="0.25">
      <c r="A2" t="s">
        <v>59</v>
      </c>
      <c r="B2" t="s">
        <v>585</v>
      </c>
      <c r="C2" t="s">
        <v>586</v>
      </c>
      <c r="D2" t="s">
        <v>587</v>
      </c>
      <c r="E2" t="s">
        <v>588</v>
      </c>
      <c r="F2" t="s">
        <v>587</v>
      </c>
      <c r="G2" t="s">
        <v>56</v>
      </c>
      <c r="H2" t="s">
        <v>55</v>
      </c>
      <c r="I2" t="s">
        <v>589</v>
      </c>
      <c r="J2" t="s">
        <v>590</v>
      </c>
      <c r="K2" t="s">
        <v>591</v>
      </c>
      <c r="L2" t="s">
        <v>592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autoPageBreaks="0"/>
  </sheetPr>
  <dimension ref="A1:C6"/>
  <sheetViews>
    <sheetView workbookViewId="0"/>
  </sheetViews>
  <sheetFormatPr defaultRowHeight="15" x14ac:dyDescent="0.25"/>
  <cols>
    <col min="1" max="1" width="15.140625" bestFit="1" customWidth="1"/>
    <col min="2" max="2" width="10.28515625" bestFit="1" customWidth="1"/>
    <col min="3" max="3" width="11.7109375" bestFit="1" customWidth="1"/>
  </cols>
  <sheetData>
    <row r="1" spans="1:3" x14ac:dyDescent="0.25">
      <c r="A1" t="s">
        <v>593</v>
      </c>
      <c r="B1" t="s">
        <v>594</v>
      </c>
      <c r="C1" t="s">
        <v>118</v>
      </c>
    </row>
    <row r="2" spans="1:3" x14ac:dyDescent="0.25">
      <c r="A2" t="s">
        <v>595</v>
      </c>
      <c r="B2" t="s">
        <v>596</v>
      </c>
      <c r="C2" t="s">
        <v>597</v>
      </c>
    </row>
    <row r="3" spans="1:3" x14ac:dyDescent="0.25">
      <c r="A3" t="s">
        <v>598</v>
      </c>
      <c r="B3" t="s">
        <v>599</v>
      </c>
      <c r="C3" t="s">
        <v>600</v>
      </c>
    </row>
    <row r="4" spans="1:3" x14ac:dyDescent="0.25">
      <c r="A4" t="s">
        <v>601</v>
      </c>
      <c r="B4" t="s">
        <v>602</v>
      </c>
      <c r="C4" t="s">
        <v>603</v>
      </c>
    </row>
    <row r="5" spans="1:3" x14ac:dyDescent="0.25">
      <c r="A5" t="s">
        <v>604</v>
      </c>
      <c r="B5" t="s">
        <v>605</v>
      </c>
      <c r="C5" t="s">
        <v>606</v>
      </c>
    </row>
    <row r="6" spans="1:3" x14ac:dyDescent="0.25">
      <c r="A6" t="s">
        <v>607</v>
      </c>
      <c r="B6" t="s">
        <v>608</v>
      </c>
      <c r="C6" t="s">
        <v>609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Tables</vt:lpstr>
      <vt:lpstr>GeneralInformation</vt:lpstr>
      <vt:lpstr>Items</vt:lpstr>
      <vt:lpstr>ChargesAndDeductions</vt:lpstr>
      <vt:lpstr>OtherCharges</vt:lpstr>
      <vt:lpstr>CGST</vt:lpstr>
      <vt:lpstr>SGST</vt:lpstr>
      <vt:lpstr>IGST</vt:lpstr>
      <vt:lpstr>CESS</vt:lpstr>
      <vt:lpstr>TCS</vt:lpstr>
      <vt:lpstr>BillsReceivable</vt:lpstr>
      <vt:lpstr>Cash</vt:lpstr>
      <vt:lpstr>Cheques</vt:lpstr>
      <vt:lpstr>PostDatedCheques</vt:lpstr>
      <vt:lpstr>PDC</vt:lpstr>
      <vt:lpstr>EInvoiceDetails</vt:lpstr>
      <vt:lpstr>InvoiceDetails</vt:lpstr>
      <vt:lpstr>OtherInfo</vt:lpstr>
      <vt:lpstr>AdditionalInformation</vt:lpstr>
      <vt:lpstr>Summary</vt:lpstr>
      <vt:lpstr>BillingAddress</vt:lpstr>
      <vt:lpstr>ShippingAddress</vt:lpstr>
      <vt:lpstr>TermsAndConditions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2025-07-17T06:18:39Z</dcterms:created>
  <dcterms:modified xsi:type="dcterms:W3CDTF">2025-09-22T10:49:56Z</dcterms:modified>
</cp:coreProperties>
</file>